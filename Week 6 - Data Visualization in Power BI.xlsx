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Sbongile Maluleka\Documents\CAPACITI\Data Engineering\"/>
    </mc:Choice>
  </mc:AlternateContent>
  <xr:revisionPtr revIDLastSave="0" documentId="13_ncr:1_{CD095DB5-8E46-467A-B817-4589A71055CE}" xr6:coauthVersionLast="47" xr6:coauthVersionMax="47" xr10:uidLastSave="{00000000-0000-0000-0000-000000000000}"/>
  <bookViews>
    <workbookView xWindow="-108" yWindow="-108" windowWidth="23256" windowHeight="12456" activeTab="1" xr2:uid="{E3533196-2281-4A22-9E16-93495A8EA78F}"/>
  </bookViews>
  <sheets>
    <sheet name="Sales-Monthly 1 (1)" sheetId="2" r:id="rId1"/>
    <sheet name="Dashboard" sheetId="1" r:id="rId2"/>
  </sheets>
  <definedNames>
    <definedName name="_xlcn.WorksheetConnection_Week6DataVisualizationinPowerBI.xlsxSales_Monthly_1__1" hidden="1">Sales_Monthly_1__1[]</definedName>
    <definedName name="ExternalData_1" localSheetId="0" hidden="1">'Sales-Monthly 1 (1)'!$A$1:$E$37</definedName>
    <definedName name="Slicer_region1">#N/A</definedName>
  </definedNames>
  <calcPr calcId="191029"/>
  <pivotCaches>
    <pivotCache cacheId="177" r:id="rId3"/>
    <pivotCache cacheId="21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Monthly_1__1" name="Sales_Monthly_1__1" connection="WorksheetConnection_Week 6 - Data Visualization in Power BI.xlsx!Sales_Monthly_1_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9" i="1" l="1"/>
  <c r="Z15" i="1"/>
  <c r="Z4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F171BB-114B-4895-BFDB-30D06766804A}" keepAlive="1" name="Query - Sales-Monthly 1 (1)" description="Connection to the 'Sales-Monthly 1 (1)' query in the workbook." type="5" refreshedVersion="8" background="1" saveData="1">
    <dbPr connection="Provider=Microsoft.Mashup.OleDb.1;Data Source=$Workbook$;Location=&quot;Sales-Monthly 1 (1)&quot;;Extended Properties=&quot;&quot;" command="SELECT * FROM [Sales-Monthly 1 (1)]"/>
  </connection>
  <connection id="2" xr16:uid="{502979DE-9954-4583-BB40-159746229DE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8FB3376-DB03-440B-B698-6499A8F8DD52}" name="WorksheetConnection_Week 6 - Data Visualization in Power BI.xlsx!Sales_Monthly_1__1" type="102" refreshedVersion="8" minRefreshableVersion="5">
    <extLst>
      <ext xmlns:x15="http://schemas.microsoft.com/office/spreadsheetml/2010/11/main" uri="{DE250136-89BD-433C-8126-D09CA5730AF9}">
        <x15:connection id="Sales_Monthly_1__1">
          <x15:rangePr sourceName="_xlcn.WorksheetConnection_Week6DataVisualizationinPowerBI.xlsxSales_Monthly_1__1"/>
        </x15:connection>
      </ext>
    </extLst>
  </connection>
</connections>
</file>

<file path=xl/sharedStrings.xml><?xml version="1.0" encoding="utf-8"?>
<sst xmlns="http://schemas.openxmlformats.org/spreadsheetml/2006/main" count="120" uniqueCount="59">
  <si>
    <t>month</t>
  </si>
  <si>
    <t>region</t>
  </si>
  <si>
    <t>units_sold</t>
  </si>
  <si>
    <t>revenue</t>
  </si>
  <si>
    <t>North</t>
  </si>
  <si>
    <t>16000.0</t>
  </si>
  <si>
    <t>Central</t>
  </si>
  <si>
    <t>16800.0</t>
  </si>
  <si>
    <t>South</t>
  </si>
  <si>
    <t>17600.0</t>
  </si>
  <si>
    <t>17000.0</t>
  </si>
  <si>
    <t>17850.0</t>
  </si>
  <si>
    <t>18700.0</t>
  </si>
  <si>
    <t>18000.0</t>
  </si>
  <si>
    <t>18900.0</t>
  </si>
  <si>
    <t>19800.0</t>
  </si>
  <si>
    <t>19500.0</t>
  </si>
  <si>
    <t>20475.0</t>
  </si>
  <si>
    <t>21450.0</t>
  </si>
  <si>
    <t>21000.0</t>
  </si>
  <si>
    <t>22050.0</t>
  </si>
  <si>
    <t>23100.0</t>
  </si>
  <si>
    <t>22000.0</t>
  </si>
  <si>
    <t>24200.0</t>
  </si>
  <si>
    <t>23500.0</t>
  </si>
  <si>
    <t>24675.0</t>
  </si>
  <si>
    <t>25850.0</t>
  </si>
  <si>
    <t>24500.0</t>
  </si>
  <si>
    <t>25725.0</t>
  </si>
  <si>
    <t>26950.0</t>
  </si>
  <si>
    <t>23000.0</t>
  </si>
  <si>
    <t>24150.0</t>
  </si>
  <si>
    <t>25300.0</t>
  </si>
  <si>
    <t>22500.0</t>
  </si>
  <si>
    <t>23625.0</t>
  </si>
  <si>
    <t>24750.0</t>
  </si>
  <si>
    <t>21500.0</t>
  </si>
  <si>
    <t>22575.0</t>
  </si>
  <si>
    <t>23650.0</t>
  </si>
  <si>
    <t>Row Labels</t>
  </si>
  <si>
    <t>Grand Total</t>
  </si>
  <si>
    <t>Jan</t>
  </si>
  <si>
    <t>Feb</t>
  </si>
  <si>
    <t>Mar</t>
  </si>
  <si>
    <t>Apr</t>
  </si>
  <si>
    <t>May</t>
  </si>
  <si>
    <t>Jun</t>
  </si>
  <si>
    <t>Jul</t>
  </si>
  <si>
    <t>Aug</t>
  </si>
  <si>
    <t>Sept</t>
  </si>
  <si>
    <t>Oct</t>
  </si>
  <si>
    <t>Nov</t>
  </si>
  <si>
    <t>Dec</t>
  </si>
  <si>
    <t>Column Labels</t>
  </si>
  <si>
    <t>Sum of revenue</t>
  </si>
  <si>
    <t>Sum of units_sold</t>
  </si>
  <si>
    <t xml:space="preserve">  2025 Sales and Revenue Dashboard</t>
  </si>
  <si>
    <t>Index</t>
  </si>
  <si>
    <t>Count of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</si>
</sst>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7" formatCode="&quot;R&quot;#,##0.00"/>
    <numFmt numFmtId="173" formatCode="&quot;R&quot;#,##0"/>
  </numFmts>
  <fonts count="2" x14ac:knownFonts="1">
    <font>
      <sz val="11"/>
      <color theme="1"/>
      <name val="Aptos Narrow"/>
      <family val="2"/>
      <scheme val="minor"/>
    </font>
    <font>
      <sz val="20"/>
      <color theme="0"/>
      <name val="Aptos Display"/>
      <family val="2"/>
    </font>
  </fonts>
  <fills count="4">
    <fill>
      <patternFill patternType="none"/>
    </fill>
    <fill>
      <patternFill patternType="gray125"/>
    </fill>
    <fill>
      <patternFill patternType="solid">
        <fgColor theme="9" tint="-0.499984740745262"/>
        <bgColor indexed="64"/>
      </patternFill>
    </fill>
    <fill>
      <patternFill patternType="solid">
        <fgColor theme="0" tint="-4.9989318521683403E-2"/>
        <bgColor indexed="64"/>
      </patternFill>
    </fill>
  </fills>
  <borders count="9">
    <border>
      <left/>
      <right/>
      <top/>
      <bottom/>
      <diagonal/>
    </border>
    <border>
      <left style="medium">
        <color theme="9" tint="-0.24994659260841701"/>
      </left>
      <right/>
      <top style="medium">
        <color theme="9" tint="-0.24994659260841701"/>
      </top>
      <bottom/>
      <diagonal/>
    </border>
    <border>
      <left/>
      <right/>
      <top style="medium">
        <color theme="9" tint="-0.24994659260841701"/>
      </top>
      <bottom/>
      <diagonal/>
    </border>
    <border>
      <left/>
      <right style="medium">
        <color theme="9" tint="-0.24994659260841701"/>
      </right>
      <top style="medium">
        <color theme="9" tint="-0.24994659260841701"/>
      </top>
      <bottom/>
      <diagonal/>
    </border>
    <border>
      <left style="medium">
        <color theme="9" tint="-0.24994659260841701"/>
      </left>
      <right/>
      <top/>
      <bottom/>
      <diagonal/>
    </border>
    <border>
      <left/>
      <right style="medium">
        <color theme="9" tint="-0.24994659260841701"/>
      </right>
      <top/>
      <bottom/>
      <diagonal/>
    </border>
    <border>
      <left style="medium">
        <color theme="9" tint="-0.24994659260841701"/>
      </left>
      <right/>
      <top/>
      <bottom style="medium">
        <color theme="9" tint="-0.24994659260841701"/>
      </bottom>
      <diagonal/>
    </border>
    <border>
      <left/>
      <right/>
      <top/>
      <bottom style="medium">
        <color theme="9" tint="-0.24994659260841701"/>
      </bottom>
      <diagonal/>
    </border>
    <border>
      <left/>
      <right style="medium">
        <color theme="9" tint="-0.24994659260841701"/>
      </right>
      <top/>
      <bottom style="medium">
        <color theme="9" tint="-0.24994659260841701"/>
      </bottom>
      <diagonal/>
    </border>
  </borders>
  <cellStyleXfs count="1">
    <xf numFmtId="0" fontId="0" fillId="0" borderId="0"/>
  </cellStyleXfs>
  <cellXfs count="20">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167" fontId="0" fillId="0" borderId="0" xfId="0" applyNumberFormat="1"/>
    <xf numFmtId="3" fontId="0" fillId="0" borderId="0" xfId="0" applyNumberFormat="1"/>
    <xf numFmtId="173" fontId="0" fillId="0" borderId="0" xfId="0" applyNumberFormat="1"/>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0"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xf>
    <xf numFmtId="0" fontId="1" fillId="2" borderId="8" xfId="0" applyFont="1" applyFill="1" applyBorder="1" applyAlignment="1">
      <alignment horizontal="left" vertical="center"/>
    </xf>
    <xf numFmtId="0" fontId="0" fillId="3" borderId="0" xfId="0" applyFill="1"/>
    <xf numFmtId="0" fontId="0" fillId="3" borderId="0" xfId="0" applyFill="1" applyAlignment="1"/>
  </cellXfs>
  <cellStyles count="1">
    <cellStyle name="Normal" xfId="0" builtinId="0"/>
  </cellStyles>
  <dxfs count="10">
    <dxf>
      <numFmt numFmtId="167" formatCode="&quot;R&quot;#,##0.00"/>
    </dxf>
    <dxf>
      <numFmt numFmtId="167" formatCode="&quot;R&quot;#,##0.00"/>
    </dxf>
    <dxf>
      <numFmt numFmtId="167" formatCode="&quot;R&quot;#,##0.00"/>
    </dxf>
    <dxf>
      <numFmt numFmtId="167" formatCode="&quot;R&quot;#,##0.00"/>
    </dxf>
    <dxf>
      <numFmt numFmtId="167" formatCode="&quot;R&quot;#,##0.00"/>
    </dxf>
    <dxf>
      <numFmt numFmtId="167" formatCode="&quot;R&quot;#,##0.00"/>
    </dxf>
    <dxf>
      <numFmt numFmtId="0" formatCode="General"/>
    </dxf>
    <dxf>
      <numFmt numFmtId="0" formatCode="General"/>
    </dxf>
    <dxf>
      <numFmt numFmtId="0" formatCode="General"/>
    </dxf>
    <dxf>
      <numFmt numFmtId="19"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powerPivotData" Target="model/item.data"/><Relationship Id="rId4" Type="http://schemas.openxmlformats.org/officeDocument/2006/relationships/pivotCacheDefinition" Target="pivotCache/pivotCacheDefinition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6 - Data Visualization in Power BI.xlsx]Dashboard!PivotTable4</c:name>
    <c:fmtId val="0"/>
  </c:pivotSource>
  <c:chart>
    <c:title>
      <c:tx>
        <c:rich>
          <a:bodyPr rot="0" spcFirstLastPara="1" vertOverflow="ellipsis" vert="horz" wrap="square" anchor="ctr" anchorCtr="1"/>
          <a:lstStyle/>
          <a:p>
            <a:pPr>
              <a:defRPr sz="12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ZA" sz="1200" b="1">
                <a:solidFill>
                  <a:schemeClr val="tx1"/>
                </a:solidFill>
                <a:latin typeface="Calibri" panose="020F0502020204030204" pitchFamily="34" charset="0"/>
                <a:ea typeface="Calibri" panose="020F0502020204030204" pitchFamily="34" charset="0"/>
                <a:cs typeface="Calibri" panose="020F0502020204030204" pitchFamily="34" charset="0"/>
              </a:rPr>
              <a:t>Regional</a:t>
            </a:r>
            <a:r>
              <a:rPr lang="en-ZA" sz="1200" b="1" baseline="0">
                <a:solidFill>
                  <a:schemeClr val="tx1"/>
                </a:solidFill>
                <a:latin typeface="Calibri" panose="020F0502020204030204" pitchFamily="34" charset="0"/>
                <a:ea typeface="Calibri" panose="020F0502020204030204" pitchFamily="34" charset="0"/>
                <a:cs typeface="Calibri" panose="020F0502020204030204" pitchFamily="34" charset="0"/>
              </a:rPr>
              <a:t> Units Sold by Month</a:t>
            </a:r>
            <a:endParaRPr lang="en-ZA" sz="12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Dashboard!$Z$19:$Z$20</c:f>
              <c:strCache>
                <c:ptCount val="1"/>
                <c:pt idx="0">
                  <c:v>Central</c:v>
                </c:pt>
              </c:strCache>
            </c:strRef>
          </c:tx>
          <c:spPr>
            <a:solidFill>
              <a:schemeClr val="accent6">
                <a:lumMod val="50000"/>
              </a:schemeClr>
            </a:solidFill>
            <a:ln>
              <a:noFill/>
            </a:ln>
            <a:effectLst/>
          </c:spPr>
          <c:invertIfNegative val="0"/>
          <c:cat>
            <c:strRef>
              <c:f>Dashboard!$Y$21:$Y$33</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Dashboard!$Z$21:$Z$33</c:f>
              <c:numCache>
                <c:formatCode>General</c:formatCode>
                <c:ptCount val="12"/>
                <c:pt idx="0">
                  <c:v>336</c:v>
                </c:pt>
                <c:pt idx="1">
                  <c:v>357</c:v>
                </c:pt>
                <c:pt idx="2">
                  <c:v>378</c:v>
                </c:pt>
                <c:pt idx="3">
                  <c:v>399</c:v>
                </c:pt>
                <c:pt idx="4">
                  <c:v>430</c:v>
                </c:pt>
                <c:pt idx="5">
                  <c:v>451</c:v>
                </c:pt>
                <c:pt idx="6">
                  <c:v>472</c:v>
                </c:pt>
                <c:pt idx="7">
                  <c:v>493</c:v>
                </c:pt>
                <c:pt idx="8">
                  <c:v>462</c:v>
                </c:pt>
                <c:pt idx="9">
                  <c:v>441</c:v>
                </c:pt>
                <c:pt idx="10">
                  <c:v>420</c:v>
                </c:pt>
                <c:pt idx="11">
                  <c:v>409</c:v>
                </c:pt>
              </c:numCache>
            </c:numRef>
          </c:val>
          <c:extLst>
            <c:ext xmlns:c16="http://schemas.microsoft.com/office/drawing/2014/chart" uri="{C3380CC4-5D6E-409C-BE32-E72D297353CC}">
              <c16:uniqueId val="{00000000-45E0-4E1B-8826-0DA9EB5CE60E}"/>
            </c:ext>
          </c:extLst>
        </c:ser>
        <c:ser>
          <c:idx val="1"/>
          <c:order val="1"/>
          <c:tx>
            <c:strRef>
              <c:f>Dashboard!$AA$19:$AA$20</c:f>
              <c:strCache>
                <c:ptCount val="1"/>
                <c:pt idx="0">
                  <c:v>North</c:v>
                </c:pt>
              </c:strCache>
            </c:strRef>
          </c:tx>
          <c:spPr>
            <a:solidFill>
              <a:schemeClr val="accent6">
                <a:lumMod val="75000"/>
              </a:schemeClr>
            </a:solidFill>
            <a:ln>
              <a:noFill/>
            </a:ln>
            <a:effectLst/>
          </c:spPr>
          <c:invertIfNegative val="0"/>
          <c:cat>
            <c:strRef>
              <c:f>Dashboard!$Y$21:$Y$33</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Dashboard!$AA$21:$AA$33</c:f>
              <c:numCache>
                <c:formatCode>General</c:formatCode>
                <c:ptCount val="12"/>
                <c:pt idx="0">
                  <c:v>320</c:v>
                </c:pt>
                <c:pt idx="1">
                  <c:v>340</c:v>
                </c:pt>
                <c:pt idx="2">
                  <c:v>360</c:v>
                </c:pt>
                <c:pt idx="3">
                  <c:v>380</c:v>
                </c:pt>
                <c:pt idx="4">
                  <c:v>410</c:v>
                </c:pt>
                <c:pt idx="5">
                  <c:v>430</c:v>
                </c:pt>
                <c:pt idx="6">
                  <c:v>450</c:v>
                </c:pt>
                <c:pt idx="7">
                  <c:v>470</c:v>
                </c:pt>
                <c:pt idx="8">
                  <c:v>440</c:v>
                </c:pt>
                <c:pt idx="9">
                  <c:v>420</c:v>
                </c:pt>
                <c:pt idx="10">
                  <c:v>400</c:v>
                </c:pt>
                <c:pt idx="11">
                  <c:v>390</c:v>
                </c:pt>
              </c:numCache>
            </c:numRef>
          </c:val>
          <c:extLst>
            <c:ext xmlns:c16="http://schemas.microsoft.com/office/drawing/2014/chart" uri="{C3380CC4-5D6E-409C-BE32-E72D297353CC}">
              <c16:uniqueId val="{00000014-45E0-4E1B-8826-0DA9EB5CE60E}"/>
            </c:ext>
          </c:extLst>
        </c:ser>
        <c:ser>
          <c:idx val="2"/>
          <c:order val="2"/>
          <c:tx>
            <c:strRef>
              <c:f>Dashboard!$AB$19:$AB$20</c:f>
              <c:strCache>
                <c:ptCount val="1"/>
                <c:pt idx="0">
                  <c:v>South</c:v>
                </c:pt>
              </c:strCache>
            </c:strRef>
          </c:tx>
          <c:spPr>
            <a:solidFill>
              <a:schemeClr val="accent6">
                <a:lumMod val="60000"/>
                <a:lumOff val="40000"/>
              </a:schemeClr>
            </a:solidFill>
            <a:ln>
              <a:noFill/>
            </a:ln>
            <a:effectLst/>
          </c:spPr>
          <c:invertIfNegative val="0"/>
          <c:cat>
            <c:strRef>
              <c:f>Dashboard!$Y$21:$Y$33</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Dashboard!$AB$21:$AB$33</c:f>
              <c:numCache>
                <c:formatCode>General</c:formatCode>
                <c:ptCount val="12"/>
                <c:pt idx="0">
                  <c:v>352</c:v>
                </c:pt>
                <c:pt idx="1">
                  <c:v>374</c:v>
                </c:pt>
                <c:pt idx="2">
                  <c:v>396</c:v>
                </c:pt>
                <c:pt idx="3">
                  <c:v>418</c:v>
                </c:pt>
                <c:pt idx="4">
                  <c:v>451</c:v>
                </c:pt>
                <c:pt idx="5">
                  <c:v>473</c:v>
                </c:pt>
                <c:pt idx="6">
                  <c:v>495</c:v>
                </c:pt>
                <c:pt idx="7">
                  <c:v>517</c:v>
                </c:pt>
                <c:pt idx="8">
                  <c:v>484</c:v>
                </c:pt>
                <c:pt idx="9">
                  <c:v>462</c:v>
                </c:pt>
                <c:pt idx="10">
                  <c:v>440</c:v>
                </c:pt>
                <c:pt idx="11">
                  <c:v>429</c:v>
                </c:pt>
              </c:numCache>
            </c:numRef>
          </c:val>
          <c:extLst>
            <c:ext xmlns:c16="http://schemas.microsoft.com/office/drawing/2014/chart" uri="{C3380CC4-5D6E-409C-BE32-E72D297353CC}">
              <c16:uniqueId val="{00000015-45E0-4E1B-8826-0DA9EB5CE60E}"/>
            </c:ext>
          </c:extLst>
        </c:ser>
        <c:dLbls>
          <c:showLegendKey val="0"/>
          <c:showVal val="0"/>
          <c:showCatName val="0"/>
          <c:showSerName val="0"/>
          <c:showPercent val="0"/>
          <c:showBubbleSize val="0"/>
        </c:dLbls>
        <c:gapWidth val="219"/>
        <c:overlap val="100"/>
        <c:axId val="632735551"/>
        <c:axId val="632732191"/>
      </c:barChart>
      <c:catAx>
        <c:axId val="632735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732191"/>
        <c:crosses val="autoZero"/>
        <c:auto val="1"/>
        <c:lblAlgn val="ctr"/>
        <c:lblOffset val="100"/>
        <c:noMultiLvlLbl val="0"/>
      </c:catAx>
      <c:valAx>
        <c:axId val="632732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735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6 - Data Visualization in Power BI.xlsx]Dashboard!PivotTable5</c:name>
    <c:fmtId val="0"/>
  </c:pivotSource>
  <c:chart>
    <c:title>
      <c:tx>
        <c:rich>
          <a:bodyPr rot="0" spcFirstLastPara="1" vertOverflow="ellipsis" vert="horz" wrap="square" anchor="ctr" anchorCtr="1"/>
          <a:lstStyle/>
          <a:p>
            <a:pPr>
              <a:defRPr sz="12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200" b="1">
                <a:solidFill>
                  <a:schemeClr val="tx1"/>
                </a:solidFill>
                <a:latin typeface="Calibri" panose="020F0502020204030204" pitchFamily="34" charset="0"/>
                <a:ea typeface="Calibri" panose="020F0502020204030204" pitchFamily="34" charset="0"/>
                <a:cs typeface="Calibri" panose="020F0502020204030204" pitchFamily="34" charset="0"/>
              </a:rPr>
              <a:t>Overall Units Sold by Region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s>
    <c:plotArea>
      <c:layout/>
      <c:barChart>
        <c:barDir val="col"/>
        <c:grouping val="clustered"/>
        <c:varyColors val="0"/>
        <c:ser>
          <c:idx val="0"/>
          <c:order val="0"/>
          <c:tx>
            <c:strRef>
              <c:f>Dashboard!$Z$37</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2-EF89-4683-9C22-EC4BCC6D007F}"/>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3-EF89-4683-9C22-EC4BCC6D007F}"/>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EF89-4683-9C22-EC4BCC6D007F}"/>
              </c:ext>
            </c:extLst>
          </c:dPt>
          <c:cat>
            <c:strRef>
              <c:f>Dashboard!$Y$38:$Y$41</c:f>
              <c:strCache>
                <c:ptCount val="3"/>
                <c:pt idx="0">
                  <c:v>North</c:v>
                </c:pt>
                <c:pt idx="1">
                  <c:v>Central</c:v>
                </c:pt>
                <c:pt idx="2">
                  <c:v>South</c:v>
                </c:pt>
              </c:strCache>
            </c:strRef>
          </c:cat>
          <c:val>
            <c:numRef>
              <c:f>Dashboard!$Z$38:$Z$41</c:f>
              <c:numCache>
                <c:formatCode>General</c:formatCode>
                <c:ptCount val="3"/>
                <c:pt idx="0">
                  <c:v>4810</c:v>
                </c:pt>
                <c:pt idx="1">
                  <c:v>5048</c:v>
                </c:pt>
                <c:pt idx="2">
                  <c:v>5291</c:v>
                </c:pt>
              </c:numCache>
            </c:numRef>
          </c:val>
          <c:extLst>
            <c:ext xmlns:c16="http://schemas.microsoft.com/office/drawing/2014/chart" uri="{C3380CC4-5D6E-409C-BE32-E72D297353CC}">
              <c16:uniqueId val="{00000000-EF89-4683-9C22-EC4BCC6D007F}"/>
            </c:ext>
          </c:extLst>
        </c:ser>
        <c:dLbls>
          <c:showLegendKey val="0"/>
          <c:showVal val="0"/>
          <c:showCatName val="0"/>
          <c:showSerName val="0"/>
          <c:showPercent val="0"/>
          <c:showBubbleSize val="0"/>
        </c:dLbls>
        <c:gapWidth val="219"/>
        <c:axId val="952239983"/>
        <c:axId val="952241423"/>
      </c:barChart>
      <c:catAx>
        <c:axId val="95223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241423"/>
        <c:crosses val="autoZero"/>
        <c:auto val="1"/>
        <c:lblAlgn val="ctr"/>
        <c:lblOffset val="100"/>
        <c:noMultiLvlLbl val="0"/>
      </c:catAx>
      <c:valAx>
        <c:axId val="952241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239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6 - Data Visualization in Power BI.xlsx]Dashboard!PivotTable9</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Calibri" panose="020F0502020204030204" pitchFamily="34" charset="0"/>
                <a:ea typeface="Calibri" panose="020F0502020204030204" pitchFamily="34" charset="0"/>
                <a:cs typeface="Calibri" panose="020F0502020204030204" pitchFamily="34" charset="0"/>
              </a:rPr>
              <a:t>Monthly Revenue Trend (2025)</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Dashboard!$Z$1</c:f>
              <c:strCache>
                <c:ptCount val="1"/>
                <c:pt idx="0">
                  <c:v>Total</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f>Dashboard!$Y$2:$Y$14</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Dashboard!$Z$2:$Z$14</c:f>
              <c:numCache>
                <c:formatCode>"R"#\ ##0.00</c:formatCode>
                <c:ptCount val="12"/>
                <c:pt idx="0">
                  <c:v>50400</c:v>
                </c:pt>
                <c:pt idx="1">
                  <c:v>53550</c:v>
                </c:pt>
                <c:pt idx="2">
                  <c:v>56700</c:v>
                </c:pt>
                <c:pt idx="3">
                  <c:v>61425</c:v>
                </c:pt>
                <c:pt idx="4">
                  <c:v>66150</c:v>
                </c:pt>
                <c:pt idx="5">
                  <c:v>69300</c:v>
                </c:pt>
                <c:pt idx="6">
                  <c:v>74025</c:v>
                </c:pt>
                <c:pt idx="7">
                  <c:v>77175</c:v>
                </c:pt>
                <c:pt idx="8">
                  <c:v>72450</c:v>
                </c:pt>
                <c:pt idx="9">
                  <c:v>70875</c:v>
                </c:pt>
                <c:pt idx="10">
                  <c:v>67725</c:v>
                </c:pt>
                <c:pt idx="11">
                  <c:v>66150</c:v>
                </c:pt>
              </c:numCache>
            </c:numRef>
          </c:val>
          <c:smooth val="0"/>
          <c:extLst>
            <c:ext xmlns:c16="http://schemas.microsoft.com/office/drawing/2014/chart" uri="{C3380CC4-5D6E-409C-BE32-E72D297353CC}">
              <c16:uniqueId val="{00000000-50C0-4ED8-88D3-C47A21FF8E65}"/>
            </c:ext>
          </c:extLst>
        </c:ser>
        <c:dLbls>
          <c:showLegendKey val="0"/>
          <c:showVal val="0"/>
          <c:showCatName val="0"/>
          <c:showSerName val="0"/>
          <c:showPercent val="0"/>
          <c:showBubbleSize val="0"/>
        </c:dLbls>
        <c:marker val="1"/>
        <c:smooth val="0"/>
        <c:axId val="973334255"/>
        <c:axId val="953596031"/>
      </c:lineChart>
      <c:catAx>
        <c:axId val="97333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596031"/>
        <c:crosses val="autoZero"/>
        <c:auto val="1"/>
        <c:lblAlgn val="ctr"/>
        <c:lblOffset val="100"/>
        <c:noMultiLvlLbl val="0"/>
      </c:catAx>
      <c:valAx>
        <c:axId val="953596031"/>
        <c:scaling>
          <c:orientation val="minMax"/>
        </c:scaling>
        <c:delete val="0"/>
        <c:axPos val="l"/>
        <c:majorGridlines>
          <c:spPr>
            <a:ln w="9525" cap="flat" cmpd="sng" algn="ctr">
              <a:solidFill>
                <a:schemeClr val="tx1">
                  <a:lumMod val="15000"/>
                  <a:lumOff val="85000"/>
                </a:schemeClr>
              </a:solidFill>
              <a:round/>
            </a:ln>
            <a:effectLst/>
          </c:spPr>
        </c:majorGridlines>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33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560070</xdr:colOff>
      <xdr:row>9</xdr:row>
      <xdr:rowOff>133350</xdr:rowOff>
    </xdr:from>
    <xdr:to>
      <xdr:col>15</xdr:col>
      <xdr:colOff>22860</xdr:colOff>
      <xdr:row>27</xdr:row>
      <xdr:rowOff>30480</xdr:rowOff>
    </xdr:to>
    <xdr:graphicFrame macro="">
      <xdr:nvGraphicFramePr>
        <xdr:cNvPr id="3" name="Chart 2">
          <a:extLst>
            <a:ext uri="{FF2B5EF4-FFF2-40B4-BE49-F238E27FC236}">
              <a16:creationId xmlns:a16="http://schemas.microsoft.com/office/drawing/2014/main" id="{004242C6-E29D-C5E6-2DE3-9379B55456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72390</xdr:colOff>
      <xdr:row>9</xdr:row>
      <xdr:rowOff>144780</xdr:rowOff>
    </xdr:from>
    <xdr:to>
      <xdr:col>18</xdr:col>
      <xdr:colOff>586740</xdr:colOff>
      <xdr:row>27</xdr:row>
      <xdr:rowOff>38100</xdr:rowOff>
    </xdr:to>
    <xdr:graphicFrame macro="">
      <xdr:nvGraphicFramePr>
        <xdr:cNvPr id="4" name="Chart 3">
          <a:extLst>
            <a:ext uri="{FF2B5EF4-FFF2-40B4-BE49-F238E27FC236}">
              <a16:creationId xmlns:a16="http://schemas.microsoft.com/office/drawing/2014/main" id="{6ABFB426-F42E-6A80-29CF-70A56A9114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251460</xdr:colOff>
      <xdr:row>4</xdr:row>
      <xdr:rowOff>0</xdr:rowOff>
    </xdr:from>
    <xdr:to>
      <xdr:col>15</xdr:col>
      <xdr:colOff>495300</xdr:colOff>
      <xdr:row>8</xdr:row>
      <xdr:rowOff>137160</xdr:rowOff>
    </xdr:to>
    <xdr:sp macro="" textlink="$Z$15">
      <xdr:nvSpPr>
        <xdr:cNvPr id="5" name="TextBox 4">
          <a:extLst>
            <a:ext uri="{FF2B5EF4-FFF2-40B4-BE49-F238E27FC236}">
              <a16:creationId xmlns:a16="http://schemas.microsoft.com/office/drawing/2014/main" id="{1DB0C7DF-48D2-4A7A-0B0D-6EA3EEC2F058}"/>
            </a:ext>
          </a:extLst>
        </xdr:cNvPr>
        <xdr:cNvSpPr txBox="1"/>
      </xdr:nvSpPr>
      <xdr:spPr>
        <a:xfrm>
          <a:off x="8161020" y="624840"/>
          <a:ext cx="1463040" cy="868680"/>
        </a:xfrm>
        <a:prstGeom prst="rect">
          <a:avLst/>
        </a:prstGeom>
        <a:solidFill>
          <a:schemeClr val="lt1"/>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7DA729-745C-4E71-92FB-A8304D8D76CC}" type="TxLink">
            <a:rPr lang="en-US" sz="1600" b="1" i="0" u="none" strike="noStrike">
              <a:solidFill>
                <a:schemeClr val="accent6">
                  <a:lumMod val="50000"/>
                </a:schemeClr>
              </a:solidFill>
              <a:latin typeface="Aptos Narrow"/>
              <a:ea typeface="Calibri" panose="020F0502020204030204" pitchFamily="34" charset="0"/>
              <a:cs typeface="Calibri" panose="020F0502020204030204" pitchFamily="34" charset="0"/>
            </a:rPr>
            <a:t>R785 925,00</a:t>
          </a:fld>
          <a:endParaRPr lang="en-ZA" sz="1600" b="1" i="0" u="none" strike="noStrike">
            <a:solidFill>
              <a:schemeClr val="accent6">
                <a:lumMod val="5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525780</xdr:colOff>
      <xdr:row>4</xdr:row>
      <xdr:rowOff>0</xdr:rowOff>
    </xdr:from>
    <xdr:to>
      <xdr:col>13</xdr:col>
      <xdr:colOff>182880</xdr:colOff>
      <xdr:row>8</xdr:row>
      <xdr:rowOff>137160</xdr:rowOff>
    </xdr:to>
    <xdr:sp macro="" textlink="$Z$42">
      <xdr:nvSpPr>
        <xdr:cNvPr id="6" name="TextBox 5">
          <a:extLst>
            <a:ext uri="{FF2B5EF4-FFF2-40B4-BE49-F238E27FC236}">
              <a16:creationId xmlns:a16="http://schemas.microsoft.com/office/drawing/2014/main" id="{DCADC92E-2552-48F0-AAA9-6160960777CD}"/>
            </a:ext>
          </a:extLst>
        </xdr:cNvPr>
        <xdr:cNvSpPr txBox="1"/>
      </xdr:nvSpPr>
      <xdr:spPr>
        <a:xfrm>
          <a:off x="6621780" y="624840"/>
          <a:ext cx="1470660" cy="868680"/>
        </a:xfrm>
        <a:prstGeom prst="rect">
          <a:avLst/>
        </a:prstGeom>
        <a:solidFill>
          <a:schemeClr val="lt1"/>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3B56F1-820F-4798-A540-39CA8570C835}" type="TxLink">
            <a:rPr lang="en-US" sz="1600" b="1" i="0" u="none" strike="noStrike">
              <a:solidFill>
                <a:schemeClr val="accent3">
                  <a:lumMod val="75000"/>
                </a:schemeClr>
              </a:solidFill>
              <a:latin typeface="Calibri" panose="020F0502020204030204" pitchFamily="34" charset="0"/>
              <a:ea typeface="Calibri" panose="020F0502020204030204" pitchFamily="34" charset="0"/>
              <a:cs typeface="Calibri" panose="020F0502020204030204" pitchFamily="34" charset="0"/>
            </a:rPr>
            <a:pPr algn="ctr"/>
            <a:t>15 149</a:t>
          </a:fld>
          <a:endParaRPr lang="en-US" sz="1600" b="1" i="0" u="none" strike="noStrike">
            <a:solidFill>
              <a:schemeClr val="accent3">
                <a:lumMod val="7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91440</xdr:colOff>
      <xdr:row>3</xdr:row>
      <xdr:rowOff>175260</xdr:rowOff>
    </xdr:from>
    <xdr:to>
      <xdr:col>9</xdr:col>
      <xdr:colOff>495300</xdr:colOff>
      <xdr:row>8</xdr:row>
      <xdr:rowOff>129540</xdr:rowOff>
    </xdr:to>
    <xdr:sp macro="" textlink="">
      <xdr:nvSpPr>
        <xdr:cNvPr id="7" name="TextBox 6">
          <a:extLst>
            <a:ext uri="{FF2B5EF4-FFF2-40B4-BE49-F238E27FC236}">
              <a16:creationId xmlns:a16="http://schemas.microsoft.com/office/drawing/2014/main" id="{2E02FE09-4632-9CD7-CFB8-74BCD6BD33F3}"/>
            </a:ext>
          </a:extLst>
        </xdr:cNvPr>
        <xdr:cNvSpPr txBox="1"/>
      </xdr:nvSpPr>
      <xdr:spPr>
        <a:xfrm>
          <a:off x="4358640" y="731520"/>
          <a:ext cx="2842260" cy="868680"/>
        </a:xfrm>
        <a:prstGeom prst="rect">
          <a:avLst/>
        </a:prstGeom>
        <a:solidFill>
          <a:schemeClr val="lt1"/>
        </a:solidFill>
        <a:ln w="12700"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200" b="1">
              <a:latin typeface="Calibri" panose="020F0502020204030204" pitchFamily="34" charset="0"/>
              <a:ea typeface="Calibri" panose="020F0502020204030204" pitchFamily="34" charset="0"/>
              <a:cs typeface="Calibri" panose="020F0502020204030204" pitchFamily="34" charset="0"/>
            </a:rPr>
            <a:t>Insights: </a:t>
          </a:r>
          <a:r>
            <a:rPr lang="en-ZA" sz="1200" i="1">
              <a:latin typeface="Calibri" panose="020F0502020204030204" pitchFamily="34" charset="0"/>
              <a:ea typeface="Calibri" panose="020F0502020204030204" pitchFamily="34" charset="0"/>
              <a:cs typeface="Calibri" panose="020F0502020204030204" pitchFamily="34" charset="0"/>
            </a:rPr>
            <a:t>2025 shows growth peaking in August. South is the dominant region.</a:t>
          </a:r>
          <a:br>
            <a:rPr lang="en-ZA" sz="1200" i="1">
              <a:latin typeface="Calibri" panose="020F0502020204030204" pitchFamily="34" charset="0"/>
              <a:ea typeface="Calibri" panose="020F0502020204030204" pitchFamily="34" charset="0"/>
              <a:cs typeface="Calibri" panose="020F0502020204030204" pitchFamily="34" charset="0"/>
            </a:rPr>
          </a:br>
          <a:r>
            <a:rPr lang="en-ZA" sz="1200" i="1">
              <a:latin typeface="Calibri" panose="020F0502020204030204" pitchFamily="34" charset="0"/>
              <a:ea typeface="Calibri" panose="020F0502020204030204" pitchFamily="34" charset="0"/>
              <a:cs typeface="Calibri" panose="020F0502020204030204" pitchFamily="34" charset="0"/>
            </a:rPr>
            <a:t>Best month: August.</a:t>
          </a:r>
          <a:br>
            <a:rPr lang="en-ZA" sz="1200" i="1">
              <a:latin typeface="Calibri" panose="020F0502020204030204" pitchFamily="34" charset="0"/>
              <a:ea typeface="Calibri" panose="020F0502020204030204" pitchFamily="34" charset="0"/>
              <a:cs typeface="Calibri" panose="020F0502020204030204" pitchFamily="34" charset="0"/>
            </a:rPr>
          </a:br>
          <a:r>
            <a:rPr lang="en-ZA" sz="1200" i="1">
              <a:latin typeface="Calibri" panose="020F0502020204030204" pitchFamily="34" charset="0"/>
              <a:ea typeface="Calibri" panose="020F0502020204030204" pitchFamily="34" charset="0"/>
              <a:cs typeface="Calibri" panose="020F0502020204030204" pitchFamily="34" charset="0"/>
            </a:rPr>
            <a:t>Strongest region:</a:t>
          </a:r>
          <a:r>
            <a:rPr lang="en-ZA" sz="1200" i="1" baseline="0">
              <a:latin typeface="Calibri" panose="020F0502020204030204" pitchFamily="34" charset="0"/>
              <a:ea typeface="Calibri" panose="020F0502020204030204" pitchFamily="34" charset="0"/>
              <a:cs typeface="Calibri" panose="020F0502020204030204" pitchFamily="34" charset="0"/>
            </a:rPr>
            <a:t> </a:t>
          </a:r>
          <a:r>
            <a:rPr lang="en-ZA" sz="1200" i="1">
              <a:latin typeface="Calibri" panose="020F0502020204030204" pitchFamily="34" charset="0"/>
              <a:ea typeface="Calibri" panose="020F0502020204030204" pitchFamily="34" charset="0"/>
              <a:cs typeface="Calibri" panose="020F0502020204030204" pitchFamily="34" charset="0"/>
            </a:rPr>
            <a:t>South.</a:t>
          </a:r>
        </a:p>
      </xdr:txBody>
    </xdr:sp>
    <xdr:clientData/>
  </xdr:twoCellAnchor>
  <xdr:twoCellAnchor>
    <xdr:from>
      <xdr:col>10</xdr:col>
      <xdr:colOff>563880</xdr:colOff>
      <xdr:row>4</xdr:row>
      <xdr:rowOff>7620</xdr:rowOff>
    </xdr:from>
    <xdr:to>
      <xdr:col>13</xdr:col>
      <xdr:colOff>137160</xdr:colOff>
      <xdr:row>5</xdr:row>
      <xdr:rowOff>38100</xdr:rowOff>
    </xdr:to>
    <xdr:sp macro="" textlink="">
      <xdr:nvSpPr>
        <xdr:cNvPr id="8" name="TextBox 7">
          <a:extLst>
            <a:ext uri="{FF2B5EF4-FFF2-40B4-BE49-F238E27FC236}">
              <a16:creationId xmlns:a16="http://schemas.microsoft.com/office/drawing/2014/main" id="{08275852-4F3D-34AE-40B7-7181D4AEB820}"/>
            </a:ext>
          </a:extLst>
        </xdr:cNvPr>
        <xdr:cNvSpPr txBox="1"/>
      </xdr:nvSpPr>
      <xdr:spPr>
        <a:xfrm>
          <a:off x="6659880" y="632460"/>
          <a:ext cx="138684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ZA" sz="1000" b="1"/>
            <a:t>Total 2025 Units Sold</a:t>
          </a:r>
        </a:p>
      </xdr:txBody>
    </xdr:sp>
    <xdr:clientData/>
  </xdr:twoCellAnchor>
  <xdr:twoCellAnchor>
    <xdr:from>
      <xdr:col>13</xdr:col>
      <xdr:colOff>289560</xdr:colOff>
      <xdr:row>4</xdr:row>
      <xdr:rowOff>15240</xdr:rowOff>
    </xdr:from>
    <xdr:to>
      <xdr:col>15</xdr:col>
      <xdr:colOff>495300</xdr:colOff>
      <xdr:row>5</xdr:row>
      <xdr:rowOff>45720</xdr:rowOff>
    </xdr:to>
    <xdr:sp macro="" textlink="">
      <xdr:nvSpPr>
        <xdr:cNvPr id="9" name="TextBox 8">
          <a:extLst>
            <a:ext uri="{FF2B5EF4-FFF2-40B4-BE49-F238E27FC236}">
              <a16:creationId xmlns:a16="http://schemas.microsoft.com/office/drawing/2014/main" id="{3AA18546-1E70-0ABE-C4C1-4C9DB3ACD2FC}"/>
            </a:ext>
          </a:extLst>
        </xdr:cNvPr>
        <xdr:cNvSpPr txBox="1"/>
      </xdr:nvSpPr>
      <xdr:spPr>
        <a:xfrm>
          <a:off x="8199120" y="640080"/>
          <a:ext cx="142494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A" sz="1000" b="1"/>
            <a:t>Total 2025 Revenue</a:t>
          </a:r>
        </a:p>
      </xdr:txBody>
    </xdr:sp>
    <xdr:clientData/>
  </xdr:twoCellAnchor>
  <xdr:twoCellAnchor>
    <xdr:from>
      <xdr:col>10</xdr:col>
      <xdr:colOff>563880</xdr:colOff>
      <xdr:row>7</xdr:row>
      <xdr:rowOff>137160</xdr:rowOff>
    </xdr:from>
    <xdr:to>
      <xdr:col>13</xdr:col>
      <xdr:colOff>152400</xdr:colOff>
      <xdr:row>8</xdr:row>
      <xdr:rowOff>99060</xdr:rowOff>
    </xdr:to>
    <xdr:sp macro="" textlink="">
      <xdr:nvSpPr>
        <xdr:cNvPr id="10" name="TextBox 9">
          <a:extLst>
            <a:ext uri="{FF2B5EF4-FFF2-40B4-BE49-F238E27FC236}">
              <a16:creationId xmlns:a16="http://schemas.microsoft.com/office/drawing/2014/main" id="{1D64821F-864A-CC1D-963C-9032DD6C04EE}"/>
            </a:ext>
          </a:extLst>
        </xdr:cNvPr>
        <xdr:cNvSpPr txBox="1"/>
      </xdr:nvSpPr>
      <xdr:spPr>
        <a:xfrm>
          <a:off x="6659880" y="1310640"/>
          <a:ext cx="1402080" cy="1447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A" sz="1100" i="1">
              <a:latin typeface="Calibri" panose="020F0502020204030204" pitchFamily="34" charset="0"/>
              <a:ea typeface="Calibri" panose="020F0502020204030204" pitchFamily="34" charset="0"/>
              <a:cs typeface="Calibri" panose="020F0502020204030204" pitchFamily="34" charset="0"/>
            </a:rPr>
            <a:t>Units</a:t>
          </a:r>
        </a:p>
      </xdr:txBody>
    </xdr:sp>
    <xdr:clientData/>
  </xdr:twoCellAnchor>
  <xdr:twoCellAnchor>
    <xdr:from>
      <xdr:col>13</xdr:col>
      <xdr:colOff>304800</xdr:colOff>
      <xdr:row>7</xdr:row>
      <xdr:rowOff>114300</xdr:rowOff>
    </xdr:from>
    <xdr:to>
      <xdr:col>15</xdr:col>
      <xdr:colOff>449580</xdr:colOff>
      <xdr:row>8</xdr:row>
      <xdr:rowOff>91440</xdr:rowOff>
    </xdr:to>
    <xdr:sp macro="" textlink="">
      <xdr:nvSpPr>
        <xdr:cNvPr id="11" name="TextBox 10">
          <a:extLst>
            <a:ext uri="{FF2B5EF4-FFF2-40B4-BE49-F238E27FC236}">
              <a16:creationId xmlns:a16="http://schemas.microsoft.com/office/drawing/2014/main" id="{60E940ED-1987-4C2D-E870-F4119237CD1C}"/>
            </a:ext>
          </a:extLst>
        </xdr:cNvPr>
        <xdr:cNvSpPr txBox="1"/>
      </xdr:nvSpPr>
      <xdr:spPr>
        <a:xfrm>
          <a:off x="8214360" y="1287780"/>
          <a:ext cx="1363980" cy="1600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A" sz="1000" i="1">
              <a:latin typeface="Calibri" panose="020F0502020204030204" pitchFamily="34" charset="0"/>
              <a:ea typeface="Calibri" panose="020F0502020204030204" pitchFamily="34" charset="0"/>
              <a:cs typeface="Calibri" panose="020F0502020204030204" pitchFamily="34" charset="0"/>
            </a:rPr>
            <a:t>ZAR</a:t>
          </a:r>
        </a:p>
      </xdr:txBody>
    </xdr:sp>
    <xdr:clientData/>
  </xdr:twoCellAnchor>
  <xdr:twoCellAnchor>
    <xdr:from>
      <xdr:col>5</xdr:col>
      <xdr:colOff>45720</xdr:colOff>
      <xdr:row>9</xdr:row>
      <xdr:rowOff>45720</xdr:rowOff>
    </xdr:from>
    <xdr:to>
      <xdr:col>19</xdr:col>
      <xdr:colOff>0</xdr:colOff>
      <xdr:row>9</xdr:row>
      <xdr:rowOff>53340</xdr:rowOff>
    </xdr:to>
    <xdr:cxnSp macro="">
      <xdr:nvCxnSpPr>
        <xdr:cNvPr id="14" name="Straight Connector 13">
          <a:extLst>
            <a:ext uri="{FF2B5EF4-FFF2-40B4-BE49-F238E27FC236}">
              <a16:creationId xmlns:a16="http://schemas.microsoft.com/office/drawing/2014/main" id="{7F4EDE82-A89D-392A-A4F9-AD2BFB23A4BF}"/>
            </a:ext>
          </a:extLst>
        </xdr:cNvPr>
        <xdr:cNvCxnSpPr/>
      </xdr:nvCxnSpPr>
      <xdr:spPr>
        <a:xfrm>
          <a:off x="3093720" y="1584960"/>
          <a:ext cx="8473440" cy="7620"/>
        </a:xfrm>
        <a:prstGeom prst="line">
          <a:avLst/>
        </a:prstGeom>
      </xdr:spPr>
      <xdr:style>
        <a:lnRef idx="3">
          <a:schemeClr val="accent3"/>
        </a:lnRef>
        <a:fillRef idx="0">
          <a:schemeClr val="accent3"/>
        </a:fillRef>
        <a:effectRef idx="2">
          <a:schemeClr val="accent3"/>
        </a:effectRef>
        <a:fontRef idx="minor">
          <a:schemeClr val="tx1"/>
        </a:fontRef>
      </xdr:style>
    </xdr:cxnSp>
    <xdr:clientData/>
  </xdr:twoCellAnchor>
  <xdr:twoCellAnchor editAs="oneCell">
    <xdr:from>
      <xdr:col>15</xdr:col>
      <xdr:colOff>30480</xdr:colOff>
      <xdr:row>0</xdr:row>
      <xdr:rowOff>60960</xdr:rowOff>
    </xdr:from>
    <xdr:to>
      <xdr:col>18</xdr:col>
      <xdr:colOff>541020</xdr:colOff>
      <xdr:row>2</xdr:row>
      <xdr:rowOff>144779</xdr:rowOff>
    </xdr:to>
    <mc:AlternateContent xmlns:mc="http://schemas.openxmlformats.org/markup-compatibility/2006">
      <mc:Choice xmlns:a14="http://schemas.microsoft.com/office/drawing/2010/main" Requires="a14">
        <xdr:graphicFrame macro="">
          <xdr:nvGraphicFramePr>
            <xdr:cNvPr id="19" name="region 1">
              <a:extLst>
                <a:ext uri="{FF2B5EF4-FFF2-40B4-BE49-F238E27FC236}">
                  <a16:creationId xmlns:a16="http://schemas.microsoft.com/office/drawing/2014/main" id="{1107BA74-AE22-787A-9703-065E39B43FA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159240" y="60960"/>
              <a:ext cx="2339340" cy="44957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586740</xdr:colOff>
      <xdr:row>4</xdr:row>
      <xdr:rowOff>0</xdr:rowOff>
    </xdr:from>
    <xdr:to>
      <xdr:col>18</xdr:col>
      <xdr:colOff>220980</xdr:colOff>
      <xdr:row>8</xdr:row>
      <xdr:rowOff>137160</xdr:rowOff>
    </xdr:to>
    <xdr:sp macro="" textlink="$AD$9">
      <xdr:nvSpPr>
        <xdr:cNvPr id="21" name="TextBox 20">
          <a:extLst>
            <a:ext uri="{FF2B5EF4-FFF2-40B4-BE49-F238E27FC236}">
              <a16:creationId xmlns:a16="http://schemas.microsoft.com/office/drawing/2014/main" id="{B7ABAB8B-E95B-4FC1-9D2E-DCF29E603938}"/>
            </a:ext>
          </a:extLst>
        </xdr:cNvPr>
        <xdr:cNvSpPr txBox="1"/>
      </xdr:nvSpPr>
      <xdr:spPr>
        <a:xfrm>
          <a:off x="9715500" y="624840"/>
          <a:ext cx="1463040" cy="868680"/>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marL="0" indent="0" algn="ctr"/>
          <a:fld id="{6EB391F7-1A40-48C6-867E-CB43D9B3E6D5}" type="TxLink">
            <a:rPr lang="en-US" sz="1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36</a:t>
          </a:fld>
          <a:endParaRPr lang="en-US" sz="1600" b="1" i="0" u="none" strike="noStrike">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16</xdr:col>
      <xdr:colOff>0</xdr:colOff>
      <xdr:row>4</xdr:row>
      <xdr:rowOff>15240</xdr:rowOff>
    </xdr:from>
    <xdr:to>
      <xdr:col>18</xdr:col>
      <xdr:colOff>205740</xdr:colOff>
      <xdr:row>5</xdr:row>
      <xdr:rowOff>45720</xdr:rowOff>
    </xdr:to>
    <xdr:sp macro="" textlink="">
      <xdr:nvSpPr>
        <xdr:cNvPr id="23" name="TextBox 22">
          <a:extLst>
            <a:ext uri="{FF2B5EF4-FFF2-40B4-BE49-F238E27FC236}">
              <a16:creationId xmlns:a16="http://schemas.microsoft.com/office/drawing/2014/main" id="{45022C35-96B3-41C5-BB9E-F8F4BBA49C4B}"/>
            </a:ext>
          </a:extLst>
        </xdr:cNvPr>
        <xdr:cNvSpPr txBox="1"/>
      </xdr:nvSpPr>
      <xdr:spPr>
        <a:xfrm>
          <a:off x="9738360" y="640080"/>
          <a:ext cx="142494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A" sz="1000"/>
            <a:t>Number Of Sales</a:t>
          </a:r>
        </a:p>
      </xdr:txBody>
    </xdr:sp>
    <xdr:clientData/>
  </xdr:twoCellAnchor>
  <xdr:twoCellAnchor>
    <xdr:from>
      <xdr:col>5</xdr:col>
      <xdr:colOff>99060</xdr:colOff>
      <xdr:row>9</xdr:row>
      <xdr:rowOff>140970</xdr:rowOff>
    </xdr:from>
    <xdr:to>
      <xdr:col>9</xdr:col>
      <xdr:colOff>502920</xdr:colOff>
      <xdr:row>27</xdr:row>
      <xdr:rowOff>22860</xdr:rowOff>
    </xdr:to>
    <xdr:graphicFrame macro="">
      <xdr:nvGraphicFramePr>
        <xdr:cNvPr id="25" name="Chart 24">
          <a:extLst>
            <a:ext uri="{FF2B5EF4-FFF2-40B4-BE49-F238E27FC236}">
              <a16:creationId xmlns:a16="http://schemas.microsoft.com/office/drawing/2014/main" id="{14E89F6E-8756-A7AD-5CB3-06DA094AF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bongile Maluleka" refreshedDate="46106.976507175925" createdVersion="8" refreshedVersion="8" minRefreshableVersion="3" recordCount="37" xr:uid="{96430BDC-DEFD-4F2A-9921-0A00DAF75477}">
  <cacheSource type="worksheet">
    <worksheetSource ref="A1:D1048576" sheet="Sales-Monthly 1 (1)"/>
  </cacheSource>
  <cacheFields count="6">
    <cacheField name="month" numFmtId="14">
      <sharedItems containsNonDate="0" containsDate="1" containsString="0" containsBlank="1" minDate="2025-01-01T00:00:00" maxDate="2025-12-02T00:00:00" count="13">
        <d v="2025-01-01T00:00:00"/>
        <d v="2025-02-01T00:00:00"/>
        <d v="2025-03-01T00:00:00"/>
        <d v="2025-04-01T00:00:00"/>
        <d v="2025-05-01T00:00:00"/>
        <d v="2025-06-01T00:00:00"/>
        <d v="2025-07-01T00:00:00"/>
        <d v="2025-08-01T00:00:00"/>
        <d v="2025-09-01T00:00:00"/>
        <d v="2025-10-01T00:00:00"/>
        <d v="2025-11-01T00:00:00"/>
        <d v="2025-12-01T00:00:00"/>
        <m/>
      </sharedItems>
      <fieldGroup par="5"/>
    </cacheField>
    <cacheField name="region" numFmtId="0">
      <sharedItems containsBlank="1" count="4">
        <s v="North"/>
        <s v="Central"/>
        <s v="South"/>
        <m/>
      </sharedItems>
    </cacheField>
    <cacheField name="units_sold" numFmtId="1">
      <sharedItems containsString="0" containsBlank="1" containsNumber="1" containsInteger="1" minValue="320" maxValue="517"/>
    </cacheField>
    <cacheField name="revenue" numFmtId="173">
      <sharedItems containsString="0" containsBlank="1" containsNumber="1" containsInteger="1" minValue="16000" maxValue="26950"/>
    </cacheField>
    <cacheField name="Days (month)" numFmtId="0" databaseField="0">
      <fieldGroup base="0">
        <rangePr groupBy="days" startDate="2025-01-01T00:00:00" endDate="2025-12-02T00:00:00"/>
        <groupItems count="368">
          <s v="&lt;2025/01/0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5/12/02"/>
        </groupItems>
      </fieldGroup>
    </cacheField>
    <cacheField name="Months (month)" numFmtId="0" databaseField="0">
      <fieldGroup base="0">
        <rangePr groupBy="months" startDate="2025-01-01T00:00:00" endDate="2025-12-02T00:00:00"/>
        <groupItems count="14">
          <s v="&lt;2025/01/01"/>
          <s v="Jan"/>
          <s v="Feb"/>
          <s v="Mar"/>
          <s v="Apr"/>
          <s v="May"/>
          <s v="Jun"/>
          <s v="Jul"/>
          <s v="Aug"/>
          <s v="Sept"/>
          <s v="Oct"/>
          <s v="Nov"/>
          <s v="Dec"/>
          <s v="&gt;2025/12/02"/>
        </groupItems>
      </fieldGroup>
    </cacheField>
  </cacheFields>
  <extLst>
    <ext xmlns:x14="http://schemas.microsoft.com/office/spreadsheetml/2009/9/main" uri="{725AE2AE-9491-48be-B2B4-4EB974FC3084}">
      <x14:pivotCacheDefinition pivotCacheId="15854377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bongile Maluleka" refreshedDate="46107.006744560182" createdVersion="8" refreshedVersion="8" minRefreshableVersion="3" recordCount="36" xr:uid="{A2854621-D5D3-4CE0-A654-27FE78AFBBC3}">
  <cacheSource type="worksheet">
    <worksheetSource name="Sales_Monthly_1__1"/>
  </cacheSource>
  <cacheFields count="5">
    <cacheField name="Index" numFmtId="0">
      <sharedItems containsSemiMixedTypes="0" containsString="0" containsNumber="1" containsInteger="1" minValue="1" maxValue="36"/>
    </cacheField>
    <cacheField name="month" numFmtId="14">
      <sharedItems containsSemiMixedTypes="0" containsNonDate="0" containsDate="1" containsString="0" minDate="2025-01-01T00:00:00" maxDate="2025-12-02T00:00:00"/>
    </cacheField>
    <cacheField name="region" numFmtId="0">
      <sharedItems/>
    </cacheField>
    <cacheField name="units_sold" numFmtId="0">
      <sharedItems containsSemiMixedTypes="0" containsString="0" containsNumber="1" containsInteger="1" minValue="320" maxValue="517"/>
    </cacheField>
    <cacheField name="revenu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x v="0"/>
    <x v="0"/>
    <n v="320"/>
    <n v="16000"/>
  </r>
  <r>
    <x v="0"/>
    <x v="1"/>
    <n v="336"/>
    <n v="16800"/>
  </r>
  <r>
    <x v="0"/>
    <x v="2"/>
    <n v="352"/>
    <n v="17600"/>
  </r>
  <r>
    <x v="1"/>
    <x v="0"/>
    <n v="340"/>
    <n v="17000"/>
  </r>
  <r>
    <x v="1"/>
    <x v="1"/>
    <n v="357"/>
    <n v="17850"/>
  </r>
  <r>
    <x v="1"/>
    <x v="2"/>
    <n v="374"/>
    <n v="18700"/>
  </r>
  <r>
    <x v="2"/>
    <x v="0"/>
    <n v="360"/>
    <n v="18000"/>
  </r>
  <r>
    <x v="2"/>
    <x v="1"/>
    <n v="378"/>
    <n v="18900"/>
  </r>
  <r>
    <x v="2"/>
    <x v="2"/>
    <n v="396"/>
    <n v="19800"/>
  </r>
  <r>
    <x v="3"/>
    <x v="0"/>
    <n v="380"/>
    <n v="19500"/>
  </r>
  <r>
    <x v="3"/>
    <x v="1"/>
    <n v="399"/>
    <n v="20475"/>
  </r>
  <r>
    <x v="3"/>
    <x v="2"/>
    <n v="418"/>
    <n v="21450"/>
  </r>
  <r>
    <x v="4"/>
    <x v="0"/>
    <n v="410"/>
    <n v="21000"/>
  </r>
  <r>
    <x v="4"/>
    <x v="1"/>
    <n v="430"/>
    <n v="22050"/>
  </r>
  <r>
    <x v="4"/>
    <x v="2"/>
    <n v="451"/>
    <n v="23100"/>
  </r>
  <r>
    <x v="5"/>
    <x v="0"/>
    <n v="430"/>
    <n v="22000"/>
  </r>
  <r>
    <x v="5"/>
    <x v="1"/>
    <n v="451"/>
    <n v="23100"/>
  </r>
  <r>
    <x v="5"/>
    <x v="2"/>
    <n v="473"/>
    <n v="24200"/>
  </r>
  <r>
    <x v="6"/>
    <x v="0"/>
    <n v="450"/>
    <n v="23500"/>
  </r>
  <r>
    <x v="6"/>
    <x v="1"/>
    <n v="472"/>
    <n v="24675"/>
  </r>
  <r>
    <x v="6"/>
    <x v="2"/>
    <n v="495"/>
    <n v="25850"/>
  </r>
  <r>
    <x v="7"/>
    <x v="0"/>
    <n v="470"/>
    <n v="24500"/>
  </r>
  <r>
    <x v="7"/>
    <x v="1"/>
    <n v="493"/>
    <n v="25725"/>
  </r>
  <r>
    <x v="7"/>
    <x v="2"/>
    <n v="517"/>
    <n v="26950"/>
  </r>
  <r>
    <x v="8"/>
    <x v="0"/>
    <n v="440"/>
    <n v="23000"/>
  </r>
  <r>
    <x v="8"/>
    <x v="1"/>
    <n v="462"/>
    <n v="24150"/>
  </r>
  <r>
    <x v="8"/>
    <x v="2"/>
    <n v="484"/>
    <n v="25300"/>
  </r>
  <r>
    <x v="9"/>
    <x v="0"/>
    <n v="420"/>
    <n v="22500"/>
  </r>
  <r>
    <x v="9"/>
    <x v="1"/>
    <n v="441"/>
    <n v="23625"/>
  </r>
  <r>
    <x v="9"/>
    <x v="2"/>
    <n v="462"/>
    <n v="24750"/>
  </r>
  <r>
    <x v="10"/>
    <x v="0"/>
    <n v="400"/>
    <n v="21500"/>
  </r>
  <r>
    <x v="10"/>
    <x v="1"/>
    <n v="420"/>
    <n v="22575"/>
  </r>
  <r>
    <x v="10"/>
    <x v="2"/>
    <n v="440"/>
    <n v="23650"/>
  </r>
  <r>
    <x v="11"/>
    <x v="0"/>
    <n v="390"/>
    <n v="21000"/>
  </r>
  <r>
    <x v="11"/>
    <x v="1"/>
    <n v="409"/>
    <n v="22050"/>
  </r>
  <r>
    <x v="11"/>
    <x v="2"/>
    <n v="429"/>
    <n v="23100"/>
  </r>
  <r>
    <x v="12"/>
    <x v="3"/>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n v="1"/>
    <d v="2025-01-01T00:00:00"/>
    <s v="North"/>
    <n v="320"/>
    <s v="16000.0"/>
  </r>
  <r>
    <n v="2"/>
    <d v="2025-01-01T00:00:00"/>
    <s v="Central"/>
    <n v="336"/>
    <s v="16800.0"/>
  </r>
  <r>
    <n v="3"/>
    <d v="2025-01-01T00:00:00"/>
    <s v="South"/>
    <n v="352"/>
    <s v="17600.0"/>
  </r>
  <r>
    <n v="4"/>
    <d v="2025-02-01T00:00:00"/>
    <s v="North"/>
    <n v="340"/>
    <s v="17000.0"/>
  </r>
  <r>
    <n v="5"/>
    <d v="2025-02-01T00:00:00"/>
    <s v="Central"/>
    <n v="357"/>
    <s v="17850.0"/>
  </r>
  <r>
    <n v="6"/>
    <d v="2025-02-01T00:00:00"/>
    <s v="South"/>
    <n v="374"/>
    <s v="18700.0"/>
  </r>
  <r>
    <n v="7"/>
    <d v="2025-03-01T00:00:00"/>
    <s v="North"/>
    <n v="360"/>
    <s v="18000.0"/>
  </r>
  <r>
    <n v="8"/>
    <d v="2025-03-01T00:00:00"/>
    <s v="Central"/>
    <n v="378"/>
    <s v="18900.0"/>
  </r>
  <r>
    <n v="9"/>
    <d v="2025-03-01T00:00:00"/>
    <s v="South"/>
    <n v="396"/>
    <s v="19800.0"/>
  </r>
  <r>
    <n v="10"/>
    <d v="2025-04-01T00:00:00"/>
    <s v="North"/>
    <n v="380"/>
    <s v="19500.0"/>
  </r>
  <r>
    <n v="11"/>
    <d v="2025-04-01T00:00:00"/>
    <s v="Central"/>
    <n v="399"/>
    <s v="20475.0"/>
  </r>
  <r>
    <n v="12"/>
    <d v="2025-04-01T00:00:00"/>
    <s v="South"/>
    <n v="418"/>
    <s v="21450.0"/>
  </r>
  <r>
    <n v="13"/>
    <d v="2025-05-01T00:00:00"/>
    <s v="North"/>
    <n v="410"/>
    <s v="21000.0"/>
  </r>
  <r>
    <n v="14"/>
    <d v="2025-05-01T00:00:00"/>
    <s v="Central"/>
    <n v="430"/>
    <s v="22050.0"/>
  </r>
  <r>
    <n v="15"/>
    <d v="2025-05-01T00:00:00"/>
    <s v="South"/>
    <n v="451"/>
    <s v="23100.0"/>
  </r>
  <r>
    <n v="16"/>
    <d v="2025-06-01T00:00:00"/>
    <s v="North"/>
    <n v="430"/>
    <s v="22000.0"/>
  </r>
  <r>
    <n v="17"/>
    <d v="2025-06-01T00:00:00"/>
    <s v="Central"/>
    <n v="451"/>
    <s v="23100.0"/>
  </r>
  <r>
    <n v="18"/>
    <d v="2025-06-01T00:00:00"/>
    <s v="South"/>
    <n v="473"/>
    <s v="24200.0"/>
  </r>
  <r>
    <n v="19"/>
    <d v="2025-07-01T00:00:00"/>
    <s v="North"/>
    <n v="450"/>
    <s v="23500.0"/>
  </r>
  <r>
    <n v="20"/>
    <d v="2025-07-01T00:00:00"/>
    <s v="Central"/>
    <n v="472"/>
    <s v="24675.0"/>
  </r>
  <r>
    <n v="21"/>
    <d v="2025-07-01T00:00:00"/>
    <s v="South"/>
    <n v="495"/>
    <s v="25850.0"/>
  </r>
  <r>
    <n v="22"/>
    <d v="2025-08-01T00:00:00"/>
    <s v="North"/>
    <n v="470"/>
    <s v="24500.0"/>
  </r>
  <r>
    <n v="23"/>
    <d v="2025-08-01T00:00:00"/>
    <s v="Central"/>
    <n v="493"/>
    <s v="25725.0"/>
  </r>
  <r>
    <n v="24"/>
    <d v="2025-08-01T00:00:00"/>
    <s v="South"/>
    <n v="517"/>
    <s v="26950.0"/>
  </r>
  <r>
    <n v="25"/>
    <d v="2025-09-01T00:00:00"/>
    <s v="North"/>
    <n v="440"/>
    <s v="23000.0"/>
  </r>
  <r>
    <n v="26"/>
    <d v="2025-09-01T00:00:00"/>
    <s v="Central"/>
    <n v="462"/>
    <s v="24150.0"/>
  </r>
  <r>
    <n v="27"/>
    <d v="2025-09-01T00:00:00"/>
    <s v="South"/>
    <n v="484"/>
    <s v="25300.0"/>
  </r>
  <r>
    <n v="28"/>
    <d v="2025-10-01T00:00:00"/>
    <s v="North"/>
    <n v="420"/>
    <s v="22500.0"/>
  </r>
  <r>
    <n v="29"/>
    <d v="2025-10-01T00:00:00"/>
    <s v="Central"/>
    <n v="441"/>
    <s v="23625.0"/>
  </r>
  <r>
    <n v="30"/>
    <d v="2025-10-01T00:00:00"/>
    <s v="South"/>
    <n v="462"/>
    <s v="24750.0"/>
  </r>
  <r>
    <n v="31"/>
    <d v="2025-11-01T00:00:00"/>
    <s v="North"/>
    <n v="400"/>
    <s v="21500.0"/>
  </r>
  <r>
    <n v="32"/>
    <d v="2025-11-01T00:00:00"/>
    <s v="Central"/>
    <n v="420"/>
    <s v="22575.0"/>
  </r>
  <r>
    <n v="33"/>
    <d v="2025-11-01T00:00:00"/>
    <s v="South"/>
    <n v="440"/>
    <s v="23650.0"/>
  </r>
  <r>
    <n v="34"/>
    <d v="2025-12-01T00:00:00"/>
    <s v="North"/>
    <n v="390"/>
    <s v="21000.0"/>
  </r>
  <r>
    <n v="35"/>
    <d v="2025-12-01T00:00:00"/>
    <s v="Central"/>
    <n v="409"/>
    <s v="22050.0"/>
  </r>
  <r>
    <n v="36"/>
    <d v="2025-12-01T00:00:00"/>
    <s v="South"/>
    <n v="429"/>
    <s v="23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8D0610-FD7A-466D-B13A-DDC149D4C11F}" name="PivotTable17" cacheId="2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7:AD8" firstHeaderRow="1" firstDataRow="1" firstDataCol="0"/>
  <pivotFields count="5">
    <pivotField dataField="1" showAll="0"/>
    <pivotField numFmtId="14" showAll="0"/>
    <pivotField showAll="0"/>
    <pivotField showAll="0"/>
    <pivotField showAll="0"/>
  </pivotFields>
  <rowItems count="1">
    <i/>
  </rowItems>
  <colItems count="1">
    <i/>
  </colItems>
  <dataFields count="1">
    <dataField name="Count of Index"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EBF8C3-F6F4-4C72-BD37-DCD092F73117}" name="PivotTable9" cacheId="177" applyNumberFormats="0" applyBorderFormats="0" applyFontFormats="0" applyPatternFormats="0" applyAlignmentFormats="0" applyWidthHeightFormats="1" dataCaption="Values" updatedVersion="8" minRefreshableVersion="3" useAutoFormatting="1" itemPrintTitles="1" createdVersion="8" indent="0" outline="1" outlineData="1" chartFormat="5">
  <location ref="Y1:Z14" firstHeaderRow="1" firstDataRow="1" firstDataCol="1"/>
  <pivotFields count="6">
    <pivotField showAll="0">
      <items count="14">
        <item x="0"/>
        <item x="1"/>
        <item x="2"/>
        <item x="3"/>
        <item x="4"/>
        <item x="5"/>
        <item x="6"/>
        <item x="7"/>
        <item x="8"/>
        <item x="9"/>
        <item x="10"/>
        <item x="11"/>
        <item x="12"/>
        <item t="default"/>
      </items>
    </pivotField>
    <pivotField showAll="0">
      <items count="5">
        <item x="1"/>
        <item x="0"/>
        <item x="2"/>
        <item h="1" x="3"/>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3">
    <i>
      <x v="1"/>
    </i>
    <i>
      <x v="2"/>
    </i>
    <i>
      <x v="3"/>
    </i>
    <i>
      <x v="4"/>
    </i>
    <i>
      <x v="5"/>
    </i>
    <i>
      <x v="6"/>
    </i>
    <i>
      <x v="7"/>
    </i>
    <i>
      <x v="8"/>
    </i>
    <i>
      <x v="9"/>
    </i>
    <i>
      <x v="10"/>
    </i>
    <i>
      <x v="11"/>
    </i>
    <i>
      <x v="12"/>
    </i>
    <i t="grand">
      <x/>
    </i>
  </rowItems>
  <colItems count="1">
    <i/>
  </colItems>
  <dataFields count="1">
    <dataField name="Sum of revenue" fld="3" baseField="0" baseItem="0" numFmtId="167"/>
  </dataFields>
  <formats count="1">
    <format dxfId="5">
      <pivotArea outline="0" collapsedLevelsAreSubtotals="1"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D2D223-04AE-4975-BF9B-D433A64B9C49}" name="PivotTable5" cacheId="1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Y37:Z41" firstHeaderRow="1" firstDataRow="1" firstDataCol="1"/>
  <pivotFields count="6">
    <pivotField showAll="0">
      <items count="14">
        <item x="0"/>
        <item x="1"/>
        <item x="2"/>
        <item x="3"/>
        <item x="4"/>
        <item x="5"/>
        <item x="6"/>
        <item x="7"/>
        <item x="8"/>
        <item x="9"/>
        <item x="10"/>
        <item x="11"/>
        <item x="12"/>
        <item t="default"/>
      </items>
    </pivotField>
    <pivotField axis="axisRow" showAll="0" sortType="ascending" nonAutoSortDefault="1">
      <items count="5">
        <item x="1"/>
        <item x="0"/>
        <item x="2"/>
        <item h="1" x="3"/>
        <item t="default"/>
      </items>
      <autoSortScope>
        <pivotArea dataOnly="0" outline="0" fieldPosition="0">
          <references count="1">
            <reference field="4294967294" count="1" selected="0">
              <x v="0"/>
            </reference>
          </references>
        </pivotArea>
      </autoSortScope>
    </pivotField>
    <pivotField dataField="1" showAll="0"/>
    <pivotField showAll="0"/>
    <pivotField showAll="0" defaultSubtotal="0"/>
    <pivotField showAll="0" sortType="ascending" defaultSubtotal="0">
      <items count="14">
        <item h="1"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s>
  <rowFields count="1">
    <field x="1"/>
  </rowFields>
  <rowItems count="4">
    <i>
      <x v="1"/>
    </i>
    <i>
      <x/>
    </i>
    <i>
      <x v="2"/>
    </i>
    <i t="grand">
      <x/>
    </i>
  </rowItems>
  <colItems count="1">
    <i/>
  </colItems>
  <dataFields count="1">
    <dataField name="Sum of units_sold" fld="2"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3F7644-1CEA-4C07-AA43-74C0AF7599A7}" name="PivotTable4" cacheId="177" applyNumberFormats="0" applyBorderFormats="0" applyFontFormats="0" applyPatternFormats="0" applyAlignmentFormats="0" applyWidthHeightFormats="1" dataCaption="Values" updatedVersion="8" minRefreshableVersion="3" useAutoFormatting="1" itemPrintTitles="1" createdVersion="8" indent="0" outline="1" outlineData="1" chartFormat="3">
  <location ref="Y19:AC33" firstHeaderRow="1" firstDataRow="2" firstDataCol="1"/>
  <pivotFields count="6">
    <pivotField showAll="0">
      <items count="14">
        <item x="0"/>
        <item x="1"/>
        <item x="2"/>
        <item x="3"/>
        <item x="4"/>
        <item x="5"/>
        <item x="6"/>
        <item x="7"/>
        <item x="8"/>
        <item x="9"/>
        <item x="10"/>
        <item x="11"/>
        <item x="12"/>
        <item t="default"/>
      </items>
    </pivotField>
    <pivotField axis="axisCol" showAll="0">
      <items count="5">
        <item x="1"/>
        <item x="0"/>
        <item x="2"/>
        <item h="1" x="3"/>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3">
    <i>
      <x v="1"/>
    </i>
    <i>
      <x v="2"/>
    </i>
    <i>
      <x v="3"/>
    </i>
    <i>
      <x v="4"/>
    </i>
    <i>
      <x v="5"/>
    </i>
    <i>
      <x v="6"/>
    </i>
    <i>
      <x v="7"/>
    </i>
    <i>
      <x v="8"/>
    </i>
    <i>
      <x v="9"/>
    </i>
    <i>
      <x v="10"/>
    </i>
    <i>
      <x v="11"/>
    </i>
    <i>
      <x v="12"/>
    </i>
    <i t="grand">
      <x/>
    </i>
  </rowItems>
  <colFields count="1">
    <field x="1"/>
  </colFields>
  <colItems count="4">
    <i>
      <x/>
    </i>
    <i>
      <x v="1"/>
    </i>
    <i>
      <x v="2"/>
    </i>
    <i t="grand">
      <x/>
    </i>
  </colItems>
  <dataFields count="1">
    <dataField name="Sum of units_sold"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1C0456D-2FE9-4E19-BF2D-9604B0925FD9}" autoFormatId="16" applyNumberFormats="0" applyBorderFormats="0" applyFontFormats="0" applyPatternFormats="0" applyAlignmentFormats="0" applyWidthHeightFormats="0">
  <queryTableRefresh nextId="7">
    <queryTableFields count="5">
      <queryTableField id="5" name="Index" tableColumnId="5"/>
      <queryTableField id="1" name="month" tableColumnId="1"/>
      <queryTableField id="2" name="region" tableColumnId="2"/>
      <queryTableField id="3" name="units_sold" tableColumnId="3"/>
      <queryTableField id="4" name="revenu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66EC209-0949-4A24-A816-B298D7EC190C}" sourceName="region">
  <pivotTables>
    <pivotTable tabId="1" name="PivotTable5"/>
    <pivotTable tabId="1" name="PivotTable4"/>
    <pivotTable tabId="1" name="PivotTable9"/>
  </pivotTables>
  <data>
    <tabular pivotCacheId="1585437716">
      <items count="4">
        <i x="1" s="1"/>
        <i x="0" s="1"/>
        <i x="2" s="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2BCC230-7F85-40F1-89BD-897248DB555A}" cache="Slicer_region1" caption="region" columnCount="3" showCaption="0" style="SlicerStyleDark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E0F18B-F3C1-40BF-ADCB-A11FA5254C5D}" name="Sales_Monthly_1__1" displayName="Sales_Monthly_1__1" ref="A1:E37" tableType="queryTable" totalsRowShown="0">
  <autoFilter ref="A1:E37" xr:uid="{BAE0F18B-F3C1-40BF-ADCB-A11FA5254C5D}"/>
  <tableColumns count="5">
    <tableColumn id="5" xr3:uid="{C5847BB4-1F6E-401C-B7B6-EE48676E7CBD}" uniqueName="5" name="Index" queryTableFieldId="5"/>
    <tableColumn id="1" xr3:uid="{387429D6-A10C-4DCD-8B10-56609CF98F76}" uniqueName="1" name="month" queryTableFieldId="1" dataDxfId="9"/>
    <tableColumn id="2" xr3:uid="{90CFEC21-B513-433C-A1FB-3AC35C558613}" uniqueName="2" name="region" queryTableFieldId="2" dataDxfId="8"/>
    <tableColumn id="3" xr3:uid="{F2C20D03-0D25-4633-AFDE-0A516A4A037D}" uniqueName="3" name="units_sold" queryTableFieldId="3" dataDxfId="7"/>
    <tableColumn id="4" xr3:uid="{C9DDA7E4-5503-4FF5-896C-66A8C7F8E924}" uniqueName="4" name="revenue" queryTableFieldId="4"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B759C-424C-4E83-A378-70F4B4EA8B03}">
  <sheetPr>
    <tabColor theme="9" tint="-0.499984740745262"/>
  </sheetPr>
  <dimension ref="A1:F39"/>
  <sheetViews>
    <sheetView topLeftCell="A2" workbookViewId="0">
      <selection activeCell="B3" sqref="B3"/>
    </sheetView>
  </sheetViews>
  <sheetFormatPr defaultRowHeight="14.4" x14ac:dyDescent="0.3"/>
  <cols>
    <col min="1" max="1" width="7.77734375" style="1" bestFit="1" customWidth="1"/>
    <col min="2" max="2" width="10.33203125" bestFit="1" customWidth="1"/>
    <col min="3" max="3" width="8.33203125" style="5" bestFit="1" customWidth="1"/>
    <col min="4" max="4" width="11.6640625" style="8" bestFit="1" customWidth="1"/>
    <col min="5" max="5" width="9.77734375" style="8" customWidth="1"/>
  </cols>
  <sheetData>
    <row r="1" spans="1:6" x14ac:dyDescent="0.3">
      <c r="A1" t="s">
        <v>57</v>
      </c>
      <c r="B1" s="1" t="s">
        <v>0</v>
      </c>
      <c r="C1" t="s">
        <v>1</v>
      </c>
      <c r="D1" s="5" t="s">
        <v>2</v>
      </c>
      <c r="E1" s="8" t="s">
        <v>3</v>
      </c>
    </row>
    <row r="2" spans="1:6" x14ac:dyDescent="0.3">
      <c r="A2">
        <v>1</v>
      </c>
      <c r="B2" s="1">
        <v>45658</v>
      </c>
      <c r="C2" s="2" t="s">
        <v>4</v>
      </c>
      <c r="D2" s="2">
        <v>320</v>
      </c>
      <c r="E2" s="2" t="s">
        <v>5</v>
      </c>
      <c r="F2" s="5"/>
    </row>
    <row r="3" spans="1:6" x14ac:dyDescent="0.3">
      <c r="A3">
        <v>2</v>
      </c>
      <c r="B3" s="1">
        <v>45658</v>
      </c>
      <c r="C3" s="2" t="s">
        <v>6</v>
      </c>
      <c r="D3" s="2">
        <v>336</v>
      </c>
      <c r="E3" s="2" t="s">
        <v>7</v>
      </c>
    </row>
    <row r="4" spans="1:6" x14ac:dyDescent="0.3">
      <c r="A4">
        <v>3</v>
      </c>
      <c r="B4" s="1">
        <v>45658</v>
      </c>
      <c r="C4" s="2" t="s">
        <v>8</v>
      </c>
      <c r="D4" s="2">
        <v>352</v>
      </c>
      <c r="E4" s="2" t="s">
        <v>9</v>
      </c>
    </row>
    <row r="5" spans="1:6" x14ac:dyDescent="0.3">
      <c r="A5">
        <v>4</v>
      </c>
      <c r="B5" s="1">
        <v>45689</v>
      </c>
      <c r="C5" s="2" t="s">
        <v>4</v>
      </c>
      <c r="D5" s="2">
        <v>340</v>
      </c>
      <c r="E5" s="2" t="s">
        <v>10</v>
      </c>
    </row>
    <row r="6" spans="1:6" x14ac:dyDescent="0.3">
      <c r="A6">
        <v>5</v>
      </c>
      <c r="B6" s="1">
        <v>45689</v>
      </c>
      <c r="C6" s="2" t="s">
        <v>6</v>
      </c>
      <c r="D6" s="2">
        <v>357</v>
      </c>
      <c r="E6" s="2" t="s">
        <v>11</v>
      </c>
    </row>
    <row r="7" spans="1:6" x14ac:dyDescent="0.3">
      <c r="A7">
        <v>6</v>
      </c>
      <c r="B7" s="1">
        <v>45689</v>
      </c>
      <c r="C7" s="2" t="s">
        <v>8</v>
      </c>
      <c r="D7" s="2">
        <v>374</v>
      </c>
      <c r="E7" s="2" t="s">
        <v>12</v>
      </c>
    </row>
    <row r="8" spans="1:6" x14ac:dyDescent="0.3">
      <c r="A8">
        <v>7</v>
      </c>
      <c r="B8" s="1">
        <v>45717</v>
      </c>
      <c r="C8" s="2" t="s">
        <v>4</v>
      </c>
      <c r="D8" s="2">
        <v>360</v>
      </c>
      <c r="E8" s="2" t="s">
        <v>13</v>
      </c>
    </row>
    <row r="9" spans="1:6" x14ac:dyDescent="0.3">
      <c r="A9">
        <v>8</v>
      </c>
      <c r="B9" s="1">
        <v>45717</v>
      </c>
      <c r="C9" s="2" t="s">
        <v>6</v>
      </c>
      <c r="D9" s="2">
        <v>378</v>
      </c>
      <c r="E9" s="2" t="s">
        <v>14</v>
      </c>
    </row>
    <row r="10" spans="1:6" x14ac:dyDescent="0.3">
      <c r="A10">
        <v>9</v>
      </c>
      <c r="B10" s="1">
        <v>45717</v>
      </c>
      <c r="C10" s="2" t="s">
        <v>8</v>
      </c>
      <c r="D10" s="2">
        <v>396</v>
      </c>
      <c r="E10" s="2" t="s">
        <v>15</v>
      </c>
    </row>
    <row r="11" spans="1:6" x14ac:dyDescent="0.3">
      <c r="A11">
        <v>10</v>
      </c>
      <c r="B11" s="1">
        <v>45748</v>
      </c>
      <c r="C11" s="2" t="s">
        <v>4</v>
      </c>
      <c r="D11" s="2">
        <v>380</v>
      </c>
      <c r="E11" s="2" t="s">
        <v>16</v>
      </c>
    </row>
    <row r="12" spans="1:6" x14ac:dyDescent="0.3">
      <c r="A12">
        <v>11</v>
      </c>
      <c r="B12" s="1">
        <v>45748</v>
      </c>
      <c r="C12" s="2" t="s">
        <v>6</v>
      </c>
      <c r="D12" s="2">
        <v>399</v>
      </c>
      <c r="E12" s="2" t="s">
        <v>17</v>
      </c>
    </row>
    <row r="13" spans="1:6" x14ac:dyDescent="0.3">
      <c r="A13">
        <v>12</v>
      </c>
      <c r="B13" s="1">
        <v>45748</v>
      </c>
      <c r="C13" s="2" t="s">
        <v>8</v>
      </c>
      <c r="D13" s="2">
        <v>418</v>
      </c>
      <c r="E13" s="2" t="s">
        <v>18</v>
      </c>
    </row>
    <row r="14" spans="1:6" x14ac:dyDescent="0.3">
      <c r="A14">
        <v>13</v>
      </c>
      <c r="B14" s="1">
        <v>45778</v>
      </c>
      <c r="C14" s="2" t="s">
        <v>4</v>
      </c>
      <c r="D14" s="2">
        <v>410</v>
      </c>
      <c r="E14" s="2" t="s">
        <v>19</v>
      </c>
    </row>
    <row r="15" spans="1:6" x14ac:dyDescent="0.3">
      <c r="A15">
        <v>14</v>
      </c>
      <c r="B15" s="1">
        <v>45778</v>
      </c>
      <c r="C15" s="2" t="s">
        <v>6</v>
      </c>
      <c r="D15" s="2">
        <v>430</v>
      </c>
      <c r="E15" s="2" t="s">
        <v>20</v>
      </c>
    </row>
    <row r="16" spans="1:6" x14ac:dyDescent="0.3">
      <c r="A16">
        <v>15</v>
      </c>
      <c r="B16" s="1">
        <v>45778</v>
      </c>
      <c r="C16" s="2" t="s">
        <v>8</v>
      </c>
      <c r="D16" s="2">
        <v>451</v>
      </c>
      <c r="E16" s="2" t="s">
        <v>21</v>
      </c>
    </row>
    <row r="17" spans="1:5" x14ac:dyDescent="0.3">
      <c r="A17">
        <v>16</v>
      </c>
      <c r="B17" s="1">
        <v>45809</v>
      </c>
      <c r="C17" s="2" t="s">
        <v>4</v>
      </c>
      <c r="D17" s="2">
        <v>430</v>
      </c>
      <c r="E17" s="2" t="s">
        <v>22</v>
      </c>
    </row>
    <row r="18" spans="1:5" x14ac:dyDescent="0.3">
      <c r="A18">
        <v>17</v>
      </c>
      <c r="B18" s="1">
        <v>45809</v>
      </c>
      <c r="C18" s="2" t="s">
        <v>6</v>
      </c>
      <c r="D18" s="2">
        <v>451</v>
      </c>
      <c r="E18" s="2" t="s">
        <v>21</v>
      </c>
    </row>
    <row r="19" spans="1:5" x14ac:dyDescent="0.3">
      <c r="A19">
        <v>18</v>
      </c>
      <c r="B19" s="1">
        <v>45809</v>
      </c>
      <c r="C19" s="2" t="s">
        <v>8</v>
      </c>
      <c r="D19" s="2">
        <v>473</v>
      </c>
      <c r="E19" s="2" t="s">
        <v>23</v>
      </c>
    </row>
    <row r="20" spans="1:5" x14ac:dyDescent="0.3">
      <c r="A20">
        <v>19</v>
      </c>
      <c r="B20" s="1">
        <v>45839</v>
      </c>
      <c r="C20" s="2" t="s">
        <v>4</v>
      </c>
      <c r="D20" s="2">
        <v>450</v>
      </c>
      <c r="E20" s="2" t="s">
        <v>24</v>
      </c>
    </row>
    <row r="21" spans="1:5" x14ac:dyDescent="0.3">
      <c r="A21">
        <v>20</v>
      </c>
      <c r="B21" s="1">
        <v>45839</v>
      </c>
      <c r="C21" s="2" t="s">
        <v>6</v>
      </c>
      <c r="D21" s="2">
        <v>472</v>
      </c>
      <c r="E21" s="2" t="s">
        <v>25</v>
      </c>
    </row>
    <row r="22" spans="1:5" x14ac:dyDescent="0.3">
      <c r="A22">
        <v>21</v>
      </c>
      <c r="B22" s="1">
        <v>45839</v>
      </c>
      <c r="C22" s="2" t="s">
        <v>8</v>
      </c>
      <c r="D22" s="2">
        <v>495</v>
      </c>
      <c r="E22" s="2" t="s">
        <v>26</v>
      </c>
    </row>
    <row r="23" spans="1:5" x14ac:dyDescent="0.3">
      <c r="A23">
        <v>22</v>
      </c>
      <c r="B23" s="1">
        <v>45870</v>
      </c>
      <c r="C23" s="2" t="s">
        <v>4</v>
      </c>
      <c r="D23" s="2">
        <v>470</v>
      </c>
      <c r="E23" s="2" t="s">
        <v>27</v>
      </c>
    </row>
    <row r="24" spans="1:5" x14ac:dyDescent="0.3">
      <c r="A24">
        <v>23</v>
      </c>
      <c r="B24" s="1">
        <v>45870</v>
      </c>
      <c r="C24" s="2" t="s">
        <v>6</v>
      </c>
      <c r="D24" s="2">
        <v>493</v>
      </c>
      <c r="E24" s="2" t="s">
        <v>28</v>
      </c>
    </row>
    <row r="25" spans="1:5" x14ac:dyDescent="0.3">
      <c r="A25">
        <v>24</v>
      </c>
      <c r="B25" s="1">
        <v>45870</v>
      </c>
      <c r="C25" s="2" t="s">
        <v>8</v>
      </c>
      <c r="D25" s="2">
        <v>517</v>
      </c>
      <c r="E25" s="2" t="s">
        <v>29</v>
      </c>
    </row>
    <row r="26" spans="1:5" x14ac:dyDescent="0.3">
      <c r="A26">
        <v>25</v>
      </c>
      <c r="B26" s="1">
        <v>45901</v>
      </c>
      <c r="C26" s="2" t="s">
        <v>4</v>
      </c>
      <c r="D26" s="2">
        <v>440</v>
      </c>
      <c r="E26" s="2" t="s">
        <v>30</v>
      </c>
    </row>
    <row r="27" spans="1:5" x14ac:dyDescent="0.3">
      <c r="A27">
        <v>26</v>
      </c>
      <c r="B27" s="1">
        <v>45901</v>
      </c>
      <c r="C27" s="2" t="s">
        <v>6</v>
      </c>
      <c r="D27" s="2">
        <v>462</v>
      </c>
      <c r="E27" s="2" t="s">
        <v>31</v>
      </c>
    </row>
    <row r="28" spans="1:5" x14ac:dyDescent="0.3">
      <c r="A28">
        <v>27</v>
      </c>
      <c r="B28" s="1">
        <v>45901</v>
      </c>
      <c r="C28" s="2" t="s">
        <v>8</v>
      </c>
      <c r="D28" s="2">
        <v>484</v>
      </c>
      <c r="E28" s="2" t="s">
        <v>32</v>
      </c>
    </row>
    <row r="29" spans="1:5" x14ac:dyDescent="0.3">
      <c r="A29">
        <v>28</v>
      </c>
      <c r="B29" s="1">
        <v>45931</v>
      </c>
      <c r="C29" s="2" t="s">
        <v>4</v>
      </c>
      <c r="D29" s="2">
        <v>420</v>
      </c>
      <c r="E29" s="2" t="s">
        <v>33</v>
      </c>
    </row>
    <row r="30" spans="1:5" x14ac:dyDescent="0.3">
      <c r="A30">
        <v>29</v>
      </c>
      <c r="B30" s="1">
        <v>45931</v>
      </c>
      <c r="C30" s="2" t="s">
        <v>6</v>
      </c>
      <c r="D30" s="2">
        <v>441</v>
      </c>
      <c r="E30" s="2" t="s">
        <v>34</v>
      </c>
    </row>
    <row r="31" spans="1:5" x14ac:dyDescent="0.3">
      <c r="A31">
        <v>30</v>
      </c>
      <c r="B31" s="1">
        <v>45931</v>
      </c>
      <c r="C31" s="2" t="s">
        <v>8</v>
      </c>
      <c r="D31" s="2">
        <v>462</v>
      </c>
      <c r="E31" s="2" t="s">
        <v>35</v>
      </c>
    </row>
    <row r="32" spans="1:5" x14ac:dyDescent="0.3">
      <c r="A32">
        <v>31</v>
      </c>
      <c r="B32" s="1">
        <v>45962</v>
      </c>
      <c r="C32" s="2" t="s">
        <v>4</v>
      </c>
      <c r="D32" s="2">
        <v>400</v>
      </c>
      <c r="E32" s="2" t="s">
        <v>36</v>
      </c>
    </row>
    <row r="33" spans="1:5" x14ac:dyDescent="0.3">
      <c r="A33">
        <v>32</v>
      </c>
      <c r="B33" s="1">
        <v>45962</v>
      </c>
      <c r="C33" s="2" t="s">
        <v>6</v>
      </c>
      <c r="D33" s="2">
        <v>420</v>
      </c>
      <c r="E33" s="2" t="s">
        <v>37</v>
      </c>
    </row>
    <row r="34" spans="1:5" x14ac:dyDescent="0.3">
      <c r="A34">
        <v>33</v>
      </c>
      <c r="B34" s="1">
        <v>45962</v>
      </c>
      <c r="C34" s="2" t="s">
        <v>8</v>
      </c>
      <c r="D34" s="2">
        <v>440</v>
      </c>
      <c r="E34" s="2" t="s">
        <v>38</v>
      </c>
    </row>
    <row r="35" spans="1:5" x14ac:dyDescent="0.3">
      <c r="A35">
        <v>34</v>
      </c>
      <c r="B35" s="1">
        <v>45992</v>
      </c>
      <c r="C35" s="2" t="s">
        <v>4</v>
      </c>
      <c r="D35" s="2">
        <v>390</v>
      </c>
      <c r="E35" s="2" t="s">
        <v>19</v>
      </c>
    </row>
    <row r="36" spans="1:5" x14ac:dyDescent="0.3">
      <c r="A36">
        <v>35</v>
      </c>
      <c r="B36" s="1">
        <v>45992</v>
      </c>
      <c r="C36" s="2" t="s">
        <v>6</v>
      </c>
      <c r="D36" s="2">
        <v>409</v>
      </c>
      <c r="E36" s="2" t="s">
        <v>20</v>
      </c>
    </row>
    <row r="37" spans="1:5" x14ac:dyDescent="0.3">
      <c r="A37">
        <v>36</v>
      </c>
      <c r="B37" s="1">
        <v>45992</v>
      </c>
      <c r="C37" s="2" t="s">
        <v>8</v>
      </c>
      <c r="D37" s="2">
        <v>429</v>
      </c>
      <c r="E37" s="2" t="s">
        <v>21</v>
      </c>
    </row>
    <row r="39" spans="1:5" x14ac:dyDescent="0.3">
      <c r="A39" s="5"/>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5F572-2510-46D6-8161-11BC48866AB0}">
  <sheetPr>
    <tabColor theme="9" tint="0.39997558519241921"/>
  </sheetPr>
  <dimension ref="F1:AE86"/>
  <sheetViews>
    <sheetView tabSelected="1" workbookViewId="0">
      <selection activeCell="W8" sqref="W8"/>
    </sheetView>
  </sheetViews>
  <sheetFormatPr defaultRowHeight="14.4" x14ac:dyDescent="0.3"/>
  <cols>
    <col min="13" max="13" width="8.6640625" customWidth="1"/>
    <col min="25" max="25" width="12.44140625" hidden="1" customWidth="1"/>
    <col min="26" max="26" width="13.6640625" style="6" hidden="1" customWidth="1"/>
    <col min="27" max="27" width="5.6640625" hidden="1" customWidth="1"/>
    <col min="28" max="28" width="5.77734375" hidden="1" customWidth="1"/>
    <col min="29" max="29" width="10.5546875" hidden="1" customWidth="1"/>
    <col min="30" max="30" width="12.6640625" hidden="1" customWidth="1"/>
    <col min="31" max="31" width="16.6640625" hidden="1" customWidth="1"/>
    <col min="32" max="32" width="15.5546875" bestFit="1" customWidth="1"/>
    <col min="33" max="33" width="5.6640625" bestFit="1" customWidth="1"/>
    <col min="34" max="34" width="5.77734375" bestFit="1" customWidth="1"/>
    <col min="35" max="35" width="10.5546875" bestFit="1" customWidth="1"/>
    <col min="36" max="57" width="7.5546875" bestFit="1" customWidth="1"/>
    <col min="58" max="58" width="10.5546875" bestFit="1" customWidth="1"/>
  </cols>
  <sheetData>
    <row r="1" spans="6:30" ht="14.4" customHeight="1" x14ac:dyDescent="0.3">
      <c r="F1" s="9" t="s">
        <v>56</v>
      </c>
      <c r="G1" s="10"/>
      <c r="H1" s="10"/>
      <c r="I1" s="10"/>
      <c r="J1" s="10"/>
      <c r="K1" s="10"/>
      <c r="L1" s="10"/>
      <c r="M1" s="10"/>
      <c r="N1" s="10"/>
      <c r="O1" s="10"/>
      <c r="P1" s="10"/>
      <c r="Q1" s="10"/>
      <c r="R1" s="10"/>
      <c r="S1" s="11"/>
      <c r="Y1" s="3" t="s">
        <v>39</v>
      </c>
      <c r="Z1" t="s">
        <v>54</v>
      </c>
    </row>
    <row r="2" spans="6:30" ht="14.4" customHeight="1" x14ac:dyDescent="0.3">
      <c r="F2" s="12"/>
      <c r="G2" s="13"/>
      <c r="H2" s="13"/>
      <c r="I2" s="13"/>
      <c r="J2" s="13"/>
      <c r="K2" s="13"/>
      <c r="L2" s="13"/>
      <c r="M2" s="13"/>
      <c r="N2" s="13"/>
      <c r="O2" s="13"/>
      <c r="P2" s="13"/>
      <c r="Q2" s="13"/>
      <c r="R2" s="13"/>
      <c r="S2" s="14"/>
      <c r="Y2" s="4" t="s">
        <v>41</v>
      </c>
      <c r="Z2" s="6">
        <v>50400</v>
      </c>
      <c r="AC2" s="5"/>
    </row>
    <row r="3" spans="6:30" ht="15" customHeight="1" thickBot="1" x14ac:dyDescent="0.35">
      <c r="F3" s="15"/>
      <c r="G3" s="16"/>
      <c r="H3" s="16"/>
      <c r="I3" s="16"/>
      <c r="J3" s="16"/>
      <c r="K3" s="16"/>
      <c r="L3" s="16"/>
      <c r="M3" s="16"/>
      <c r="N3" s="16"/>
      <c r="O3" s="16"/>
      <c r="P3" s="16"/>
      <c r="Q3" s="16"/>
      <c r="R3" s="16"/>
      <c r="S3" s="17"/>
      <c r="Y3" s="4" t="s">
        <v>42</v>
      </c>
      <c r="Z3" s="6">
        <v>53550</v>
      </c>
    </row>
    <row r="4" spans="6:30" ht="5.4" customHeight="1" x14ac:dyDescent="0.3">
      <c r="F4" s="18"/>
      <c r="G4" s="18"/>
      <c r="H4" s="18"/>
      <c r="I4" s="18"/>
      <c r="J4" s="18"/>
      <c r="K4" s="18"/>
      <c r="L4" s="18"/>
      <c r="M4" s="18"/>
      <c r="N4" s="18"/>
      <c r="O4" s="18"/>
      <c r="P4" s="18"/>
      <c r="Q4" s="18"/>
      <c r="R4" s="18"/>
      <c r="S4" s="18"/>
      <c r="Y4" s="4" t="s">
        <v>43</v>
      </c>
      <c r="Z4" s="6">
        <v>56700</v>
      </c>
    </row>
    <row r="5" spans="6:30" x14ac:dyDescent="0.3">
      <c r="F5" s="18"/>
      <c r="G5" s="18"/>
      <c r="H5" s="18"/>
      <c r="I5" s="18"/>
      <c r="J5" s="18"/>
      <c r="K5" s="19"/>
      <c r="L5" s="19"/>
      <c r="M5" s="18"/>
      <c r="N5" s="19"/>
      <c r="O5" s="19"/>
      <c r="P5" s="18"/>
      <c r="Q5" s="18"/>
      <c r="R5" s="18"/>
      <c r="S5" s="18"/>
      <c r="Y5" s="4" t="s">
        <v>44</v>
      </c>
      <c r="Z5" s="6">
        <v>61425</v>
      </c>
    </row>
    <row r="6" spans="6:30" x14ac:dyDescent="0.3">
      <c r="F6" s="18"/>
      <c r="G6" s="18"/>
      <c r="H6" s="18"/>
      <c r="I6" s="18"/>
      <c r="J6" s="18"/>
      <c r="K6" s="18"/>
      <c r="L6" s="18"/>
      <c r="M6" s="18"/>
      <c r="N6" s="18"/>
      <c r="O6" s="18"/>
      <c r="P6" s="18"/>
      <c r="Q6" s="18"/>
      <c r="R6" s="18"/>
      <c r="S6" s="18"/>
      <c r="Y6" s="4" t="s">
        <v>45</v>
      </c>
      <c r="Z6" s="6">
        <v>66150</v>
      </c>
    </row>
    <row r="7" spans="6:30" x14ac:dyDescent="0.3">
      <c r="F7" s="18"/>
      <c r="G7" s="18"/>
      <c r="H7" s="18"/>
      <c r="I7" s="18"/>
      <c r="J7" s="18"/>
      <c r="K7" s="18"/>
      <c r="L7" s="18"/>
      <c r="M7" s="18"/>
      <c r="N7" s="18"/>
      <c r="O7" s="18"/>
      <c r="P7" s="18"/>
      <c r="Q7" s="18"/>
      <c r="R7" s="18"/>
      <c r="S7" s="18"/>
      <c r="Y7" s="4" t="s">
        <v>46</v>
      </c>
      <c r="Z7" s="6">
        <v>69300</v>
      </c>
      <c r="AD7" t="s">
        <v>58</v>
      </c>
    </row>
    <row r="8" spans="6:30" x14ac:dyDescent="0.3">
      <c r="F8" s="18"/>
      <c r="G8" s="18"/>
      <c r="H8" s="18"/>
      <c r="I8" s="18"/>
      <c r="J8" s="18"/>
      <c r="K8" s="18"/>
      <c r="L8" s="18"/>
      <c r="M8" s="18"/>
      <c r="N8" s="18"/>
      <c r="O8" s="18"/>
      <c r="P8" s="18"/>
      <c r="Q8" s="18"/>
      <c r="R8" s="18"/>
      <c r="S8" s="18"/>
      <c r="Y8" s="4" t="s">
        <v>47</v>
      </c>
      <c r="Z8" s="6">
        <v>74025</v>
      </c>
      <c r="AD8" s="2">
        <v>36</v>
      </c>
    </row>
    <row r="9" spans="6:30" x14ac:dyDescent="0.3">
      <c r="F9" s="18"/>
      <c r="G9" s="18"/>
      <c r="H9" s="18"/>
      <c r="I9" s="18"/>
      <c r="J9" s="18"/>
      <c r="K9" s="18"/>
      <c r="L9" s="18"/>
      <c r="M9" s="18"/>
      <c r="N9" s="18"/>
      <c r="O9" s="18"/>
      <c r="P9" s="18"/>
      <c r="Q9" s="18"/>
      <c r="R9" s="18"/>
      <c r="S9" s="18"/>
      <c r="Y9" s="4" t="s">
        <v>48</v>
      </c>
      <c r="Z9" s="6">
        <v>77175</v>
      </c>
      <c r="AD9">
        <f>GETPIVOTDATA("Index",$AD$7)</f>
        <v>36</v>
      </c>
    </row>
    <row r="10" spans="6:30" x14ac:dyDescent="0.3">
      <c r="F10" s="18"/>
      <c r="G10" s="18"/>
      <c r="H10" s="18"/>
      <c r="I10" s="18"/>
      <c r="J10" s="18"/>
      <c r="K10" s="19"/>
      <c r="L10" s="19"/>
      <c r="M10" s="18"/>
      <c r="N10" s="19"/>
      <c r="O10" s="19"/>
      <c r="P10" s="18"/>
      <c r="Q10" s="18"/>
      <c r="R10" s="18"/>
      <c r="S10" s="18"/>
      <c r="Y10" s="4" t="s">
        <v>49</v>
      </c>
      <c r="Z10" s="6">
        <v>72450</v>
      </c>
    </row>
    <row r="11" spans="6:30" x14ac:dyDescent="0.3">
      <c r="F11" s="18"/>
      <c r="G11" s="18"/>
      <c r="H11" s="18"/>
      <c r="I11" s="18"/>
      <c r="J11" s="18"/>
      <c r="K11" s="18"/>
      <c r="L11" s="18"/>
      <c r="M11" s="18"/>
      <c r="N11" s="18"/>
      <c r="O11" s="18"/>
      <c r="P11" s="18"/>
      <c r="Q11" s="18"/>
      <c r="R11" s="18"/>
      <c r="S11" s="18"/>
      <c r="Y11" s="4" t="s">
        <v>50</v>
      </c>
      <c r="Z11" s="6">
        <v>70875</v>
      </c>
    </row>
    <row r="12" spans="6:30" x14ac:dyDescent="0.3">
      <c r="F12" s="18"/>
      <c r="G12" s="18"/>
      <c r="H12" s="18"/>
      <c r="I12" s="18"/>
      <c r="J12" s="18"/>
      <c r="K12" s="18"/>
      <c r="L12" s="18"/>
      <c r="M12" s="18"/>
      <c r="N12" s="18"/>
      <c r="O12" s="18"/>
      <c r="P12" s="18"/>
      <c r="Q12" s="18"/>
      <c r="R12" s="18"/>
      <c r="S12" s="18"/>
      <c r="Y12" s="4" t="s">
        <v>51</v>
      </c>
      <c r="Z12" s="6">
        <v>67725</v>
      </c>
    </row>
    <row r="13" spans="6:30" x14ac:dyDescent="0.3">
      <c r="F13" s="18"/>
      <c r="G13" s="18"/>
      <c r="H13" s="18"/>
      <c r="I13" s="18"/>
      <c r="J13" s="18"/>
      <c r="K13" s="18"/>
      <c r="L13" s="18"/>
      <c r="M13" s="18"/>
      <c r="N13" s="18"/>
      <c r="O13" s="18"/>
      <c r="P13" s="18"/>
      <c r="Q13" s="18"/>
      <c r="R13" s="18"/>
      <c r="S13" s="18"/>
      <c r="Y13" s="4" t="s">
        <v>52</v>
      </c>
      <c r="Z13" s="6">
        <v>66150</v>
      </c>
    </row>
    <row r="14" spans="6:30" x14ac:dyDescent="0.3">
      <c r="F14" s="18"/>
      <c r="G14" s="18"/>
      <c r="H14" s="18"/>
      <c r="I14" s="18"/>
      <c r="J14" s="18"/>
      <c r="K14" s="18"/>
      <c r="L14" s="18"/>
      <c r="M14" s="18"/>
      <c r="N14" s="18"/>
      <c r="O14" s="18"/>
      <c r="P14" s="18"/>
      <c r="Q14" s="18"/>
      <c r="R14" s="18"/>
      <c r="S14" s="18"/>
      <c r="Y14" s="4" t="s">
        <v>40</v>
      </c>
      <c r="Z14" s="6">
        <v>785925</v>
      </c>
    </row>
    <row r="15" spans="6:30" x14ac:dyDescent="0.3">
      <c r="F15" s="18"/>
      <c r="G15" s="18"/>
      <c r="H15" s="18"/>
      <c r="I15" s="18"/>
      <c r="J15" s="18"/>
      <c r="K15" s="18"/>
      <c r="L15" s="18"/>
      <c r="M15" s="18"/>
      <c r="N15" s="18"/>
      <c r="O15" s="18"/>
      <c r="P15" s="18"/>
      <c r="Q15" s="18"/>
      <c r="R15" s="18"/>
      <c r="S15" s="18"/>
      <c r="Z15" s="6">
        <f>GETPIVOTDATA("revenue",$Y$1)</f>
        <v>785925</v>
      </c>
    </row>
    <row r="16" spans="6:30" x14ac:dyDescent="0.3">
      <c r="F16" s="18"/>
      <c r="G16" s="18"/>
      <c r="H16" s="18"/>
      <c r="I16" s="18"/>
      <c r="J16" s="18"/>
      <c r="K16" s="18"/>
      <c r="L16" s="18"/>
      <c r="M16" s="18"/>
      <c r="N16" s="18"/>
      <c r="O16" s="18"/>
      <c r="P16" s="18"/>
      <c r="Q16" s="18"/>
      <c r="R16" s="18"/>
      <c r="S16" s="18"/>
      <c r="Z16" s="8"/>
    </row>
    <row r="17" spans="6:29" x14ac:dyDescent="0.3">
      <c r="F17" s="18"/>
      <c r="G17" s="18"/>
      <c r="H17" s="18"/>
      <c r="I17" s="18"/>
      <c r="J17" s="18"/>
      <c r="K17" s="18"/>
      <c r="L17" s="18"/>
      <c r="M17" s="18"/>
      <c r="N17" s="18"/>
      <c r="O17" s="18"/>
      <c r="P17" s="18"/>
      <c r="Q17" s="18"/>
      <c r="R17" s="18"/>
      <c r="S17" s="18"/>
      <c r="Z17"/>
    </row>
    <row r="18" spans="6:29" x14ac:dyDescent="0.3">
      <c r="F18" s="18"/>
      <c r="G18" s="18"/>
      <c r="H18" s="18"/>
      <c r="I18" s="18"/>
      <c r="J18" s="18"/>
      <c r="K18" s="18"/>
      <c r="L18" s="18"/>
      <c r="M18" s="18"/>
      <c r="N18" s="18"/>
      <c r="O18" s="18"/>
      <c r="P18" s="18"/>
      <c r="Q18" s="18"/>
      <c r="R18" s="18"/>
      <c r="S18" s="18"/>
      <c r="Z18"/>
    </row>
    <row r="19" spans="6:29" x14ac:dyDescent="0.3">
      <c r="F19" s="18"/>
      <c r="G19" s="18"/>
      <c r="H19" s="18"/>
      <c r="I19" s="18"/>
      <c r="J19" s="18"/>
      <c r="K19" s="18"/>
      <c r="L19" s="18"/>
      <c r="M19" s="18"/>
      <c r="N19" s="18"/>
      <c r="O19" s="18"/>
      <c r="P19" s="18"/>
      <c r="Q19" s="18"/>
      <c r="R19" s="18"/>
      <c r="S19" s="18"/>
      <c r="Y19" s="3" t="s">
        <v>55</v>
      </c>
      <c r="Z19" s="3" t="s">
        <v>53</v>
      </c>
    </row>
    <row r="20" spans="6:29" x14ac:dyDescent="0.3">
      <c r="F20" s="18"/>
      <c r="G20" s="18"/>
      <c r="H20" s="18"/>
      <c r="I20" s="18"/>
      <c r="J20" s="18"/>
      <c r="K20" s="18"/>
      <c r="L20" s="18"/>
      <c r="M20" s="18"/>
      <c r="N20" s="18"/>
      <c r="O20" s="18"/>
      <c r="P20" s="18"/>
      <c r="Q20" s="18"/>
      <c r="R20" s="18"/>
      <c r="S20" s="18"/>
      <c r="Y20" s="3" t="s">
        <v>39</v>
      </c>
      <c r="Z20" t="s">
        <v>6</v>
      </c>
      <c r="AA20" t="s">
        <v>4</v>
      </c>
      <c r="AB20" t="s">
        <v>8</v>
      </c>
      <c r="AC20" t="s">
        <v>40</v>
      </c>
    </row>
    <row r="21" spans="6:29" x14ac:dyDescent="0.3">
      <c r="F21" s="18"/>
      <c r="G21" s="18"/>
      <c r="H21" s="18"/>
      <c r="I21" s="18"/>
      <c r="J21" s="18"/>
      <c r="K21" s="18"/>
      <c r="L21" s="18"/>
      <c r="M21" s="18"/>
      <c r="N21" s="18"/>
      <c r="O21" s="18"/>
      <c r="P21" s="18"/>
      <c r="Q21" s="18"/>
      <c r="R21" s="18"/>
      <c r="S21" s="18"/>
      <c r="Y21" s="4" t="s">
        <v>41</v>
      </c>
      <c r="Z21" s="2">
        <v>336</v>
      </c>
      <c r="AA21" s="2">
        <v>320</v>
      </c>
      <c r="AB21" s="2">
        <v>352</v>
      </c>
      <c r="AC21" s="2">
        <v>1008</v>
      </c>
    </row>
    <row r="22" spans="6:29" x14ac:dyDescent="0.3">
      <c r="F22" s="18"/>
      <c r="G22" s="18"/>
      <c r="H22" s="18"/>
      <c r="I22" s="18"/>
      <c r="J22" s="18"/>
      <c r="K22" s="18"/>
      <c r="L22" s="18"/>
      <c r="M22" s="18"/>
      <c r="N22" s="18"/>
      <c r="O22" s="18"/>
      <c r="P22" s="18"/>
      <c r="Q22" s="18"/>
      <c r="R22" s="18"/>
      <c r="S22" s="18"/>
      <c r="Y22" s="4" t="s">
        <v>42</v>
      </c>
      <c r="Z22" s="2">
        <v>357</v>
      </c>
      <c r="AA22" s="2">
        <v>340</v>
      </c>
      <c r="AB22" s="2">
        <v>374</v>
      </c>
      <c r="AC22" s="2">
        <v>1071</v>
      </c>
    </row>
    <row r="23" spans="6:29" x14ac:dyDescent="0.3">
      <c r="F23" s="18"/>
      <c r="G23" s="18"/>
      <c r="H23" s="18"/>
      <c r="I23" s="18"/>
      <c r="J23" s="18"/>
      <c r="K23" s="18"/>
      <c r="L23" s="18"/>
      <c r="M23" s="18"/>
      <c r="N23" s="18"/>
      <c r="O23" s="18"/>
      <c r="P23" s="18"/>
      <c r="Q23" s="18"/>
      <c r="R23" s="18"/>
      <c r="S23" s="18"/>
      <c r="Y23" s="4" t="s">
        <v>43</v>
      </c>
      <c r="Z23" s="2">
        <v>378</v>
      </c>
      <c r="AA23" s="2">
        <v>360</v>
      </c>
      <c r="AB23" s="2">
        <v>396</v>
      </c>
      <c r="AC23" s="2">
        <v>1134</v>
      </c>
    </row>
    <row r="24" spans="6:29" x14ac:dyDescent="0.3">
      <c r="F24" s="18"/>
      <c r="G24" s="18"/>
      <c r="H24" s="18"/>
      <c r="I24" s="18"/>
      <c r="J24" s="18"/>
      <c r="K24" s="18"/>
      <c r="L24" s="18"/>
      <c r="M24" s="18"/>
      <c r="N24" s="18"/>
      <c r="O24" s="18"/>
      <c r="P24" s="18"/>
      <c r="Q24" s="18"/>
      <c r="R24" s="18"/>
      <c r="S24" s="18"/>
      <c r="Y24" s="4" t="s">
        <v>44</v>
      </c>
      <c r="Z24" s="2">
        <v>399</v>
      </c>
      <c r="AA24" s="2">
        <v>380</v>
      </c>
      <c r="AB24" s="2">
        <v>418</v>
      </c>
      <c r="AC24" s="2">
        <v>1197</v>
      </c>
    </row>
    <row r="25" spans="6:29" x14ac:dyDescent="0.3">
      <c r="F25" s="18"/>
      <c r="G25" s="18"/>
      <c r="H25" s="18"/>
      <c r="I25" s="18"/>
      <c r="J25" s="18"/>
      <c r="K25" s="18"/>
      <c r="L25" s="18"/>
      <c r="M25" s="18"/>
      <c r="N25" s="18"/>
      <c r="O25" s="18"/>
      <c r="P25" s="18"/>
      <c r="Q25" s="18"/>
      <c r="R25" s="18"/>
      <c r="S25" s="18"/>
      <c r="Y25" s="4" t="s">
        <v>45</v>
      </c>
      <c r="Z25" s="2">
        <v>430</v>
      </c>
      <c r="AA25" s="2">
        <v>410</v>
      </c>
      <c r="AB25" s="2">
        <v>451</v>
      </c>
      <c r="AC25" s="2">
        <v>1291</v>
      </c>
    </row>
    <row r="26" spans="6:29" x14ac:dyDescent="0.3">
      <c r="F26" s="18"/>
      <c r="G26" s="18"/>
      <c r="H26" s="18"/>
      <c r="I26" s="18"/>
      <c r="J26" s="18"/>
      <c r="K26" s="18"/>
      <c r="L26" s="18"/>
      <c r="M26" s="18"/>
      <c r="N26" s="18"/>
      <c r="O26" s="18"/>
      <c r="P26" s="18"/>
      <c r="Q26" s="18"/>
      <c r="R26" s="18"/>
      <c r="S26" s="18"/>
      <c r="Y26" s="4" t="s">
        <v>46</v>
      </c>
      <c r="Z26" s="2">
        <v>451</v>
      </c>
      <c r="AA26" s="2">
        <v>430</v>
      </c>
      <c r="AB26" s="2">
        <v>473</v>
      </c>
      <c r="AC26" s="2">
        <v>1354</v>
      </c>
    </row>
    <row r="27" spans="6:29" x14ac:dyDescent="0.3">
      <c r="F27" s="18"/>
      <c r="G27" s="18"/>
      <c r="H27" s="18"/>
      <c r="I27" s="18"/>
      <c r="J27" s="18"/>
      <c r="K27" s="18"/>
      <c r="L27" s="18"/>
      <c r="M27" s="18"/>
      <c r="N27" s="18"/>
      <c r="O27" s="18"/>
      <c r="P27" s="18"/>
      <c r="Q27" s="18"/>
      <c r="R27" s="18"/>
      <c r="S27" s="18"/>
      <c r="Y27" s="4" t="s">
        <v>47</v>
      </c>
      <c r="Z27" s="2">
        <v>472</v>
      </c>
      <c r="AA27" s="2">
        <v>450</v>
      </c>
      <c r="AB27" s="2">
        <v>495</v>
      </c>
      <c r="AC27" s="2">
        <v>1417</v>
      </c>
    </row>
    <row r="28" spans="6:29" x14ac:dyDescent="0.3">
      <c r="F28" s="18"/>
      <c r="G28" s="18"/>
      <c r="H28" s="18"/>
      <c r="I28" s="18"/>
      <c r="J28" s="18"/>
      <c r="K28" s="18"/>
      <c r="L28" s="18"/>
      <c r="M28" s="18"/>
      <c r="N28" s="18"/>
      <c r="O28" s="18"/>
      <c r="P28" s="18"/>
      <c r="Q28" s="18"/>
      <c r="R28" s="18"/>
      <c r="S28" s="18"/>
      <c r="Y28" s="4" t="s">
        <v>48</v>
      </c>
      <c r="Z28" s="2">
        <v>493</v>
      </c>
      <c r="AA28" s="2">
        <v>470</v>
      </c>
      <c r="AB28" s="2">
        <v>517</v>
      </c>
      <c r="AC28" s="2">
        <v>1480</v>
      </c>
    </row>
    <row r="29" spans="6:29" x14ac:dyDescent="0.3">
      <c r="F29" s="18"/>
      <c r="G29" s="18"/>
      <c r="H29" s="18"/>
      <c r="I29" s="18"/>
      <c r="J29" s="18"/>
      <c r="K29" s="18"/>
      <c r="L29" s="18"/>
      <c r="M29" s="18"/>
      <c r="N29" s="18"/>
      <c r="O29" s="18"/>
      <c r="P29" s="18"/>
      <c r="Q29" s="18"/>
      <c r="R29" s="18"/>
      <c r="S29" s="18"/>
      <c r="Y29" s="4" t="s">
        <v>49</v>
      </c>
      <c r="Z29" s="2">
        <v>462</v>
      </c>
      <c r="AA29" s="2">
        <v>440</v>
      </c>
      <c r="AB29" s="2">
        <v>484</v>
      </c>
      <c r="AC29" s="2">
        <v>1386</v>
      </c>
    </row>
    <row r="30" spans="6:29" x14ac:dyDescent="0.3">
      <c r="Y30" s="4" t="s">
        <v>50</v>
      </c>
      <c r="Z30" s="2">
        <v>441</v>
      </c>
      <c r="AA30" s="2">
        <v>420</v>
      </c>
      <c r="AB30" s="2">
        <v>462</v>
      </c>
      <c r="AC30" s="2">
        <v>1323</v>
      </c>
    </row>
    <row r="31" spans="6:29" x14ac:dyDescent="0.3">
      <c r="Y31" s="4" t="s">
        <v>51</v>
      </c>
      <c r="Z31" s="2">
        <v>420</v>
      </c>
      <c r="AA31" s="2">
        <v>400</v>
      </c>
      <c r="AB31" s="2">
        <v>440</v>
      </c>
      <c r="AC31" s="2">
        <v>1260</v>
      </c>
    </row>
    <row r="32" spans="6:29" x14ac:dyDescent="0.3">
      <c r="Y32" s="4" t="s">
        <v>52</v>
      </c>
      <c r="Z32" s="2">
        <v>409</v>
      </c>
      <c r="AA32" s="2">
        <v>390</v>
      </c>
      <c r="AB32" s="2">
        <v>429</v>
      </c>
      <c r="AC32" s="2">
        <v>1228</v>
      </c>
    </row>
    <row r="33" spans="25:29" x14ac:dyDescent="0.3">
      <c r="Y33" s="4" t="s">
        <v>40</v>
      </c>
      <c r="Z33" s="2">
        <v>5048</v>
      </c>
      <c r="AA33" s="2">
        <v>4810</v>
      </c>
      <c r="AB33" s="2">
        <v>5291</v>
      </c>
      <c r="AC33" s="2">
        <v>15149</v>
      </c>
    </row>
    <row r="34" spans="25:29" x14ac:dyDescent="0.3">
      <c r="Z34"/>
    </row>
    <row r="35" spans="25:29" x14ac:dyDescent="0.3">
      <c r="Z35"/>
    </row>
    <row r="36" spans="25:29" x14ac:dyDescent="0.3">
      <c r="Z36"/>
    </row>
    <row r="37" spans="25:29" x14ac:dyDescent="0.3">
      <c r="Y37" s="3" t="s">
        <v>39</v>
      </c>
      <c r="Z37" t="s">
        <v>55</v>
      </c>
    </row>
    <row r="38" spans="25:29" x14ac:dyDescent="0.3">
      <c r="Y38" s="4" t="s">
        <v>4</v>
      </c>
      <c r="Z38" s="2">
        <v>4810</v>
      </c>
    </row>
    <row r="39" spans="25:29" x14ac:dyDescent="0.3">
      <c r="Y39" s="4" t="s">
        <v>6</v>
      </c>
      <c r="Z39" s="2">
        <v>5048</v>
      </c>
    </row>
    <row r="40" spans="25:29" x14ac:dyDescent="0.3">
      <c r="Y40" s="4" t="s">
        <v>8</v>
      </c>
      <c r="Z40" s="2">
        <v>5291</v>
      </c>
    </row>
    <row r="41" spans="25:29" x14ac:dyDescent="0.3">
      <c r="Y41" s="4" t="s">
        <v>40</v>
      </c>
      <c r="Z41" s="2">
        <v>15149</v>
      </c>
    </row>
    <row r="42" spans="25:29" x14ac:dyDescent="0.3">
      <c r="Z42" s="7">
        <f>GETPIVOTDATA("units_sold",$Y$37)</f>
        <v>15149</v>
      </c>
    </row>
    <row r="43" spans="25:29" x14ac:dyDescent="0.3">
      <c r="Z43"/>
    </row>
    <row r="44" spans="25:29" x14ac:dyDescent="0.3">
      <c r="Y44" s="5"/>
      <c r="Z44"/>
    </row>
    <row r="45" spans="25:29" x14ac:dyDescent="0.3">
      <c r="Z45"/>
    </row>
    <row r="46" spans="25:29" x14ac:dyDescent="0.3">
      <c r="Z46"/>
    </row>
    <row r="47" spans="25:29" x14ac:dyDescent="0.3">
      <c r="Z47"/>
    </row>
    <row r="48" spans="25:29" x14ac:dyDescent="0.3">
      <c r="Z48"/>
    </row>
    <row r="49" spans="26:26" x14ac:dyDescent="0.3">
      <c r="Z49"/>
    </row>
    <row r="50" spans="26:26" x14ac:dyDescent="0.3">
      <c r="Z50"/>
    </row>
    <row r="51" spans="26:26" x14ac:dyDescent="0.3">
      <c r="Z51"/>
    </row>
    <row r="52" spans="26:26" x14ac:dyDescent="0.3">
      <c r="Z52"/>
    </row>
    <row r="53" spans="26:26" x14ac:dyDescent="0.3">
      <c r="Z53"/>
    </row>
    <row r="54" spans="26:26" x14ac:dyDescent="0.3">
      <c r="Z54"/>
    </row>
    <row r="55" spans="26:26" x14ac:dyDescent="0.3">
      <c r="Z55"/>
    </row>
    <row r="56" spans="26:26" x14ac:dyDescent="0.3">
      <c r="Z56"/>
    </row>
    <row r="57" spans="26:26" x14ac:dyDescent="0.3">
      <c r="Z57"/>
    </row>
    <row r="58" spans="26:26" x14ac:dyDescent="0.3">
      <c r="Z58"/>
    </row>
    <row r="59" spans="26:26" x14ac:dyDescent="0.3">
      <c r="Z59"/>
    </row>
    <row r="60" spans="26:26" x14ac:dyDescent="0.3">
      <c r="Z60"/>
    </row>
    <row r="61" spans="26:26" x14ac:dyDescent="0.3">
      <c r="Z61"/>
    </row>
    <row r="62" spans="26:26" x14ac:dyDescent="0.3">
      <c r="Z62"/>
    </row>
    <row r="63" spans="26:26" x14ac:dyDescent="0.3">
      <c r="Z63"/>
    </row>
    <row r="64" spans="26:26" x14ac:dyDescent="0.3">
      <c r="Z64"/>
    </row>
    <row r="65" spans="26:26" x14ac:dyDescent="0.3">
      <c r="Z65"/>
    </row>
    <row r="66" spans="26:26" x14ac:dyDescent="0.3">
      <c r="Z66"/>
    </row>
    <row r="67" spans="26:26" x14ac:dyDescent="0.3">
      <c r="Z67"/>
    </row>
    <row r="68" spans="26:26" x14ac:dyDescent="0.3">
      <c r="Z68"/>
    </row>
    <row r="69" spans="26:26" x14ac:dyDescent="0.3">
      <c r="Z69"/>
    </row>
    <row r="70" spans="26:26" x14ac:dyDescent="0.3">
      <c r="Z70"/>
    </row>
    <row r="71" spans="26:26" x14ac:dyDescent="0.3">
      <c r="Z71"/>
    </row>
    <row r="72" spans="26:26" x14ac:dyDescent="0.3">
      <c r="Z72"/>
    </row>
    <row r="73" spans="26:26" x14ac:dyDescent="0.3">
      <c r="Z73"/>
    </row>
    <row r="74" spans="26:26" x14ac:dyDescent="0.3">
      <c r="Z74"/>
    </row>
    <row r="75" spans="26:26" x14ac:dyDescent="0.3">
      <c r="Z75"/>
    </row>
    <row r="76" spans="26:26" x14ac:dyDescent="0.3">
      <c r="Z76"/>
    </row>
    <row r="77" spans="26:26" x14ac:dyDescent="0.3">
      <c r="Z77"/>
    </row>
    <row r="78" spans="26:26" x14ac:dyDescent="0.3">
      <c r="Z78"/>
    </row>
    <row r="79" spans="26:26" x14ac:dyDescent="0.3">
      <c r="Z79"/>
    </row>
    <row r="80" spans="26:26" x14ac:dyDescent="0.3">
      <c r="Z80"/>
    </row>
    <row r="81" spans="26:26" x14ac:dyDescent="0.3">
      <c r="Z81"/>
    </row>
    <row r="82" spans="26:26" x14ac:dyDescent="0.3">
      <c r="Z82"/>
    </row>
    <row r="83" spans="26:26" x14ac:dyDescent="0.3">
      <c r="Z83"/>
    </row>
    <row r="84" spans="26:26" x14ac:dyDescent="0.3">
      <c r="Z84"/>
    </row>
    <row r="85" spans="26:26" x14ac:dyDescent="0.3">
      <c r="Z85"/>
    </row>
    <row r="86" spans="26:26" x14ac:dyDescent="0.3">
      <c r="Z86"/>
    </row>
  </sheetData>
  <sortState xmlns:xlrd2="http://schemas.microsoft.com/office/spreadsheetml/2017/richdata2" ref="Y37:Z41">
    <sortCondition ref="Y38"/>
  </sortState>
  <mergeCells count="1">
    <mergeCell ref="F1:S3"/>
  </mergeCells>
  <pageMargins left="0.7" right="0.7" top="0.75" bottom="0.75" header="0.3" footer="0.3"/>
  <pageSetup paperSize="9" orientation="portrait" r:id="rId5"/>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54763D-DF0F-4DAD-927C-86D228940A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Sales-Monthly 1 (1)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Sibongile Maluleka</dc:creator>
  <cp:lastModifiedBy>Sibongile Maluleka</cp:lastModifiedBy>
  <dcterms:created xsi:type="dcterms:W3CDTF">2026-03-25T15:09:35Z</dcterms:created>
  <dcterms:modified xsi:type="dcterms:W3CDTF">2026-03-25T22:16:18Z</dcterms:modified>
</cp:coreProperties>
</file>